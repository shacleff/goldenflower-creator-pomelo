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4180" windowHeight="13110" activeTab="2"/>
  </bookViews>
  <sheets>
    <sheet name="server" sheetId="1" r:id="rId1"/>
    <sheet name="Sheet1" sheetId="2" r:id="rId2"/>
    <sheet name="Sheet2" sheetId="3" r:id="rId3"/>
  </sheets>
  <calcPr calcId="124519"/>
</workbook>
</file>

<file path=xl/calcChain.xml><?xml version="1.0" encoding="utf-8"?>
<calcChain xmlns="http://schemas.openxmlformats.org/spreadsheetml/2006/main">
  <c r="C68" i="1"/>
  <c r="C69"/>
  <c r="C11"/>
  <c r="C10"/>
  <c r="C9"/>
  <c r="C8"/>
  <c r="C7"/>
  <c r="C6"/>
  <c r="C67"/>
  <c r="C66"/>
  <c r="C65"/>
  <c r="C62"/>
  <c r="C59"/>
  <c r="C47"/>
  <c r="C64"/>
  <c r="C63"/>
  <c r="C61"/>
  <c r="C60"/>
  <c r="C58"/>
  <c r="C53"/>
  <c r="C57"/>
  <c r="C56"/>
  <c r="C55"/>
  <c r="C54"/>
  <c r="C52"/>
  <c r="C51"/>
  <c r="C50"/>
  <c r="C49"/>
  <c r="C48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7"/>
  <c r="C28"/>
  <c r="C26"/>
  <c r="C25"/>
  <c r="C24"/>
  <c r="C23"/>
  <c r="C22"/>
  <c r="C21"/>
  <c r="C20"/>
  <c r="C19"/>
  <c r="C18"/>
  <c r="C17"/>
  <c r="C16"/>
  <c r="C15"/>
  <c r="C14"/>
  <c r="C13"/>
  <c r="C12"/>
  <c r="B85" i="2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1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G431"/>
  <c r="I431" s="1"/>
  <c r="H431"/>
  <c r="G432"/>
  <c r="I432" s="1"/>
  <c r="H432"/>
  <c r="G433"/>
  <c r="I433"/>
  <c r="H433"/>
  <c r="G434"/>
  <c r="H434"/>
  <c r="I434" s="1"/>
  <c r="G435"/>
  <c r="I435" s="1"/>
  <c r="H435"/>
  <c r="G436"/>
  <c r="I436"/>
  <c r="H436"/>
  <c r="G437"/>
  <c r="I437"/>
  <c r="H437"/>
  <c r="G438"/>
  <c r="I438"/>
  <c r="H438"/>
  <c r="G439"/>
  <c r="I439" s="1"/>
  <c r="H439"/>
  <c r="G440"/>
  <c r="I440" s="1"/>
  <c r="H440"/>
  <c r="G441"/>
  <c r="I441" s="1"/>
  <c r="H441"/>
  <c r="G442"/>
  <c r="I442" s="1"/>
  <c r="H442"/>
  <c r="G443"/>
  <c r="I443" s="1"/>
  <c r="H443"/>
  <c r="G444"/>
  <c r="I444" s="1"/>
  <c r="H444"/>
  <c r="G445"/>
  <c r="I445" s="1"/>
  <c r="H445"/>
  <c r="G446"/>
  <c r="I446" s="1"/>
  <c r="H446"/>
  <c r="G447"/>
  <c r="I447"/>
  <c r="H447"/>
  <c r="G448"/>
  <c r="H448"/>
  <c r="I448" s="1"/>
  <c r="G449"/>
  <c r="I449" s="1"/>
  <c r="H449"/>
  <c r="G450"/>
  <c r="I450" s="1"/>
  <c r="H450"/>
  <c r="G451"/>
  <c r="I451" s="1"/>
  <c r="H451"/>
  <c r="G452"/>
  <c r="I452" s="1"/>
  <c r="H452"/>
  <c r="G453"/>
  <c r="I453" s="1"/>
  <c r="H453"/>
  <c r="G454"/>
  <c r="I454" s="1"/>
  <c r="H454"/>
  <c r="G455"/>
  <c r="I455"/>
  <c r="H455"/>
  <c r="G456"/>
  <c r="H456"/>
  <c r="I456" s="1"/>
  <c r="G457"/>
  <c r="I457" s="1"/>
  <c r="H457"/>
  <c r="G458"/>
  <c r="H458"/>
  <c r="G459"/>
  <c r="H459"/>
  <c r="I459"/>
  <c r="G460"/>
  <c r="I460" s="1"/>
  <c r="H460"/>
  <c r="G461"/>
  <c r="I461"/>
  <c r="H461"/>
  <c r="G462"/>
  <c r="I462"/>
  <c r="H462"/>
  <c r="G463"/>
  <c r="I463"/>
  <c r="H463"/>
  <c r="G464"/>
  <c r="I464" s="1"/>
  <c r="H464"/>
  <c r="G465"/>
  <c r="I465" s="1"/>
  <c r="H465"/>
  <c r="G466"/>
  <c r="I466" s="1"/>
  <c r="H466"/>
  <c r="G467"/>
  <c r="H467"/>
  <c r="G468"/>
  <c r="I468" s="1"/>
  <c r="H468"/>
  <c r="G469"/>
  <c r="I469" s="1"/>
  <c r="H469"/>
  <c r="G470"/>
  <c r="H470"/>
  <c r="G471"/>
  <c r="I471" s="1"/>
  <c r="H471"/>
  <c r="G472"/>
  <c r="I472" s="1"/>
  <c r="H472"/>
  <c r="G473"/>
  <c r="H473"/>
  <c r="G474"/>
  <c r="I474" s="1"/>
  <c r="H474"/>
  <c r="G475"/>
  <c r="I475" s="1"/>
  <c r="H475"/>
  <c r="G476"/>
  <c r="I476" s="1"/>
  <c r="H476"/>
  <c r="G477"/>
  <c r="I477" s="1"/>
  <c r="H477"/>
  <c r="G478"/>
  <c r="I478"/>
  <c r="H478"/>
  <c r="G479"/>
  <c r="I479"/>
  <c r="H479"/>
  <c r="G480"/>
  <c r="I480"/>
  <c r="H480"/>
  <c r="G481"/>
  <c r="I481" s="1"/>
  <c r="H481"/>
  <c r="G482"/>
  <c r="I482" s="1"/>
  <c r="H482"/>
  <c r="G483"/>
  <c r="I483" s="1"/>
  <c r="H483"/>
  <c r="G484"/>
  <c r="I484" s="1"/>
  <c r="H484"/>
  <c r="G485"/>
  <c r="I485" s="1"/>
  <c r="H485"/>
  <c r="G486"/>
  <c r="I486"/>
  <c r="H486"/>
  <c r="G487"/>
  <c r="H487"/>
  <c r="I487" s="1"/>
  <c r="G488"/>
  <c r="H488"/>
  <c r="G489"/>
  <c r="I489"/>
  <c r="H489"/>
  <c r="G490"/>
  <c r="I490"/>
  <c r="H490"/>
  <c r="G491"/>
  <c r="I491" s="1"/>
  <c r="H491"/>
  <c r="G492"/>
  <c r="I492" s="1"/>
  <c r="H492"/>
  <c r="G493"/>
  <c r="I493" s="1"/>
  <c r="H493"/>
  <c r="G494"/>
  <c r="I494" s="1"/>
  <c r="H494"/>
  <c r="G495"/>
  <c r="H495"/>
  <c r="I495"/>
  <c r="G496"/>
  <c r="I496" s="1"/>
  <c r="H496"/>
  <c r="G497"/>
  <c r="I497"/>
  <c r="H497"/>
  <c r="G498"/>
  <c r="H498"/>
  <c r="I498" s="1"/>
  <c r="G499"/>
  <c r="I499" s="1"/>
  <c r="H499"/>
  <c r="G500"/>
  <c r="I500" s="1"/>
  <c r="H500"/>
  <c r="G501"/>
  <c r="I501" s="1"/>
  <c r="H501"/>
  <c r="G502"/>
  <c r="I502" s="1"/>
  <c r="H502"/>
  <c r="G503"/>
  <c r="I503" s="1"/>
  <c r="H503"/>
  <c r="G504"/>
  <c r="I504" s="1"/>
  <c r="H504"/>
  <c r="G505"/>
  <c r="I505" s="1"/>
  <c r="H505"/>
  <c r="G506"/>
  <c r="H506"/>
  <c r="I506"/>
  <c r="G507"/>
  <c r="I507" s="1"/>
  <c r="H507"/>
  <c r="G508"/>
  <c r="I508"/>
  <c r="H508"/>
  <c r="G509"/>
  <c r="I509"/>
  <c r="H509"/>
  <c r="G510"/>
  <c r="I510"/>
  <c r="H510"/>
  <c r="G511"/>
  <c r="I511" s="1"/>
  <c r="H511"/>
  <c r="G512"/>
  <c r="I512" s="1"/>
  <c r="H512"/>
  <c r="G513"/>
  <c r="I513" s="1"/>
  <c r="H513"/>
  <c r="G514"/>
  <c r="I514" s="1"/>
  <c r="H514"/>
  <c r="G515"/>
  <c r="I515" s="1"/>
  <c r="H515"/>
  <c r="G516"/>
  <c r="I516" s="1"/>
  <c r="H516"/>
  <c r="G517"/>
  <c r="I517" s="1"/>
  <c r="H517"/>
  <c r="G518"/>
  <c r="I518" s="1"/>
  <c r="H518"/>
  <c r="G519"/>
  <c r="I519"/>
  <c r="H519"/>
  <c r="G520"/>
  <c r="I520"/>
  <c r="H520"/>
  <c r="G521"/>
  <c r="I521"/>
  <c r="H521"/>
  <c r="G522"/>
  <c r="I522" s="1"/>
  <c r="H522"/>
  <c r="G523"/>
  <c r="I523" s="1"/>
  <c r="H523"/>
  <c r="G524"/>
  <c r="I524" s="1"/>
  <c r="H524"/>
  <c r="G525"/>
  <c r="I525" s="1"/>
  <c r="H525"/>
  <c r="G526"/>
  <c r="I526" s="1"/>
  <c r="H526"/>
  <c r="G527"/>
  <c r="I527"/>
  <c r="H527"/>
  <c r="G528"/>
  <c r="I528"/>
  <c r="H528"/>
  <c r="G529"/>
  <c r="I529"/>
  <c r="H529"/>
  <c r="G530"/>
  <c r="I530" s="1"/>
  <c r="H530"/>
  <c r="G531"/>
  <c r="I531" s="1"/>
  <c r="H531"/>
  <c r="G532"/>
  <c r="I532" s="1"/>
  <c r="H532"/>
  <c r="G533"/>
  <c r="I533" s="1"/>
  <c r="H533"/>
  <c r="G534"/>
  <c r="I534" s="1"/>
  <c r="H534"/>
  <c r="G535"/>
  <c r="I535" s="1"/>
  <c r="H535"/>
  <c r="G536"/>
  <c r="I536" s="1"/>
  <c r="H536"/>
  <c r="G537"/>
  <c r="I537" s="1"/>
  <c r="H537"/>
  <c r="G538"/>
  <c r="I538"/>
  <c r="H538"/>
  <c r="G539"/>
  <c r="I539"/>
  <c r="H539"/>
  <c r="G540"/>
  <c r="I540"/>
  <c r="H540"/>
  <c r="G541"/>
  <c r="I541" s="1"/>
  <c r="H541"/>
  <c r="G542"/>
  <c r="I542" s="1"/>
  <c r="H542"/>
  <c r="G543"/>
  <c r="I543" s="1"/>
  <c r="H543"/>
  <c r="G544"/>
  <c r="H544"/>
  <c r="G545"/>
  <c r="I545" s="1"/>
  <c r="H545"/>
  <c r="G546"/>
  <c r="I546" s="1"/>
  <c r="H546"/>
  <c r="G547"/>
  <c r="I547" s="1"/>
  <c r="H547"/>
  <c r="G548"/>
  <c r="I548" s="1"/>
  <c r="H548"/>
  <c r="G549"/>
  <c r="I549" s="1"/>
  <c r="H549"/>
  <c r="G550"/>
  <c r="I550" s="1"/>
  <c r="H550"/>
  <c r="D421"/>
  <c r="H421"/>
  <c r="H422"/>
  <c r="H423"/>
  <c r="H424"/>
  <c r="H425"/>
  <c r="H426"/>
  <c r="H427"/>
  <c r="I427" s="1"/>
  <c r="H428"/>
  <c r="H429"/>
  <c r="H430"/>
  <c r="G420"/>
  <c r="I420" s="1"/>
  <c r="G421"/>
  <c r="I421"/>
  <c r="G422"/>
  <c r="I422" s="1"/>
  <c r="G423"/>
  <c r="I423" s="1"/>
  <c r="G424"/>
  <c r="I424" s="1"/>
  <c r="G425"/>
  <c r="I425" s="1"/>
  <c r="G426"/>
  <c r="I426" s="1"/>
  <c r="G427"/>
  <c r="G428"/>
  <c r="I428"/>
  <c r="G429"/>
  <c r="I429" s="1"/>
  <c r="G430"/>
  <c r="I430"/>
  <c r="H401"/>
  <c r="H402"/>
  <c r="H403"/>
  <c r="H404"/>
  <c r="H405"/>
  <c r="H406"/>
  <c r="H407"/>
  <c r="I407" s="1"/>
  <c r="H408"/>
  <c r="H409"/>
  <c r="H410"/>
  <c r="H411"/>
  <c r="H412"/>
  <c r="H413"/>
  <c r="H414"/>
  <c r="H415"/>
  <c r="H416"/>
  <c r="H417"/>
  <c r="I417" s="1"/>
  <c r="H418"/>
  <c r="H419"/>
  <c r="H420"/>
  <c r="H400"/>
  <c r="I400" s="1"/>
  <c r="G401"/>
  <c r="I401" s="1"/>
  <c r="G402"/>
  <c r="I402"/>
  <c r="G403"/>
  <c r="I403"/>
  <c r="G404"/>
  <c r="I404" s="1"/>
  <c r="G405"/>
  <c r="I405" s="1"/>
  <c r="G406"/>
  <c r="I406"/>
  <c r="G407"/>
  <c r="G408"/>
  <c r="I408" s="1"/>
  <c r="G409"/>
  <c r="I409" s="1"/>
  <c r="G410"/>
  <c r="I410" s="1"/>
  <c r="G411"/>
  <c r="I411" s="1"/>
  <c r="G412"/>
  <c r="I412" s="1"/>
  <c r="G413"/>
  <c r="I413"/>
  <c r="G414"/>
  <c r="I414" s="1"/>
  <c r="G415"/>
  <c r="I415" s="1"/>
  <c r="G416"/>
  <c r="I416" s="1"/>
  <c r="G417"/>
  <c r="G418"/>
  <c r="I418" s="1"/>
  <c r="G419"/>
  <c r="I419"/>
  <c r="G400"/>
  <c r="I458"/>
  <c r="I544"/>
  <c r="I473"/>
  <c r="I488"/>
  <c r="I470"/>
  <c r="I467"/>
</calcChain>
</file>

<file path=xl/sharedStrings.xml><?xml version="1.0" encoding="utf-8"?>
<sst xmlns="http://schemas.openxmlformats.org/spreadsheetml/2006/main" count="688" uniqueCount="683">
  <si>
    <t>戴国安</t>
  </si>
  <si>
    <t xml:space="preserve">	司空楷瑞_x000D_
</t>
  </si>
  <si>
    <t>吉温纶</t>
  </si>
  <si>
    <t xml:space="preserve">	羊舌俊郎_x000D_
</t>
  </si>
  <si>
    <t>盖擎宇</t>
  </si>
  <si>
    <t xml:space="preserve">	倪炫明_x000D_
</t>
  </si>
  <si>
    <t>阙宇荫</t>
  </si>
  <si>
    <t xml:space="preserve">	丁炎彬_x000D_
</t>
  </si>
  <si>
    <t>羿元洲</t>
  </si>
  <si>
    <t xml:space="preserve">	麻阳旭_x000D_
</t>
  </si>
  <si>
    <t>乐正正阳</t>
  </si>
  <si>
    <t xml:space="preserve">	赫连翰林_x000D_
</t>
  </si>
  <si>
    <t>通鸿羲</t>
  </si>
  <si>
    <t xml:space="preserve">	喻星剑_x000D_
</t>
  </si>
  <si>
    <t>厉彭魄</t>
  </si>
  <si>
    <t xml:space="preserve">	闻兴怀_x000D_
</t>
  </si>
  <si>
    <t>骆博容</t>
  </si>
  <si>
    <t xml:space="preserve">	宰父向荣_x000D_
</t>
  </si>
  <si>
    <t>孟奇邃</t>
  </si>
  <si>
    <t xml:space="preserve">	辛承教_x000D_
</t>
  </si>
  <si>
    <t>甄嘉志</t>
  </si>
  <si>
    <t xml:space="preserve">	岑睿慈_x000D_
</t>
  </si>
  <si>
    <t>乐正巍奕</t>
  </si>
  <si>
    <t xml:space="preserve">	马文华_x000D_
</t>
  </si>
  <si>
    <t>祖思淼</t>
  </si>
  <si>
    <t xml:space="preserve">	蓬阳舒_x000D_
</t>
  </si>
  <si>
    <t>罗锐精</t>
  </si>
  <si>
    <t xml:space="preserve">	詹鹏海_x000D_
</t>
  </si>
  <si>
    <t>居良策</t>
  </si>
  <si>
    <t xml:space="preserve">	余鸿飞_x000D_
</t>
  </si>
  <si>
    <t>党康顺</t>
  </si>
  <si>
    <t xml:space="preserve">	殴英睿_x000D_
</t>
  </si>
  <si>
    <t>习永言</t>
  </si>
  <si>
    <t xml:space="preserve">	芮鹏翼_x000D_
</t>
  </si>
  <si>
    <t>景学义</t>
  </si>
  <si>
    <t xml:space="preserve">	钟成益_x000D_
</t>
  </si>
  <si>
    <t>林景龙</t>
  </si>
  <si>
    <t xml:space="preserve">	党嘉熙_x000D_
</t>
  </si>
  <si>
    <t>晋楚鸿风</t>
  </si>
  <si>
    <t xml:space="preserve">	扶康裕_x000D_
</t>
  </si>
  <si>
    <t>公羊承宣</t>
  </si>
  <si>
    <t xml:space="preserve">	鲍阳伯_x000D_
</t>
  </si>
  <si>
    <t>咸伟彦</t>
  </si>
  <si>
    <t xml:space="preserve">	公德寿_x000D_
</t>
  </si>
  <si>
    <t>关文翰</t>
  </si>
  <si>
    <t xml:space="preserve">	邵天睿_x000D_
</t>
  </si>
  <si>
    <t>晁彭魄</t>
  </si>
  <si>
    <t xml:space="preserve">	文乐贤_x000D_
</t>
  </si>
  <si>
    <t>籍开畅</t>
  </si>
  <si>
    <t xml:space="preserve">	裴凯泽_x000D_
</t>
  </si>
  <si>
    <t>妫海承嗣</t>
  </si>
  <si>
    <t xml:space="preserve">	景高爽_x000D_
</t>
  </si>
  <si>
    <t>空德本</t>
  </si>
  <si>
    <t xml:space="preserve">	瞿茂勋_x000D_
</t>
  </si>
  <si>
    <t>毕鸿才</t>
  </si>
  <si>
    <t xml:space="preserve">	苍德厚_x000D_
</t>
  </si>
  <si>
    <t>翟鸿卓</t>
  </si>
  <si>
    <t xml:space="preserve">	燕敏达_x000D_
</t>
  </si>
  <si>
    <t>仲孙茂学</t>
  </si>
  <si>
    <t xml:space="preserve">	谷智勇_x000D_
</t>
  </si>
  <si>
    <t>山信鸥</t>
  </si>
  <si>
    <t xml:space="preserve">	璩鸿涛_x000D_
</t>
  </si>
  <si>
    <t>温俊捷</t>
  </si>
  <si>
    <t xml:space="preserve">	仲星驰_x000D_
</t>
  </si>
  <si>
    <t>元兴德</t>
  </si>
  <si>
    <t xml:space="preserve">	郑宏儒_x000D_
</t>
  </si>
  <si>
    <t>和 德运</t>
  </si>
  <si>
    <t xml:space="preserve">	寇英飙_x000D_
</t>
  </si>
  <si>
    <t>左丘乐游</t>
  </si>
  <si>
    <t xml:space="preserve">	年爱景辉_x000D_
</t>
  </si>
  <si>
    <t>莘茂勋</t>
  </si>
  <si>
    <t xml:space="preserve">	范开朗_x000D_
</t>
  </si>
  <si>
    <t>令狐意蕴</t>
  </si>
  <si>
    <t xml:space="preserve">	宓昊穹_x000D_
</t>
  </si>
  <si>
    <t>隗建弼</t>
  </si>
  <si>
    <t xml:space="preserve">	戚乐童_x000D_
</t>
  </si>
  <si>
    <t>支明智</t>
  </si>
  <si>
    <t xml:space="preserve">	蓟正豪_x000D_
</t>
  </si>
  <si>
    <t>居兴学</t>
  </si>
  <si>
    <t xml:space="preserve">	谢坚诚_x000D_
</t>
  </si>
  <si>
    <t>樊涵润</t>
  </si>
  <si>
    <t xml:space="preserve">	路宏扬_x000D_
</t>
  </si>
  <si>
    <t>濮阳英飙</t>
  </si>
  <si>
    <t xml:space="preserve">	柳天佑_x000D_
</t>
  </si>
  <si>
    <t>康修文</t>
  </si>
  <si>
    <t xml:space="preserve">	董光亮_x000D_
</t>
  </si>
  <si>
    <t>凌宜春</t>
  </si>
  <si>
    <t xml:space="preserve">	夹谷文博_x000D_
</t>
  </si>
  <si>
    <t>寿修能</t>
  </si>
  <si>
    <t xml:space="preserve">	岑烨然_x000D_
</t>
  </si>
  <si>
    <t>申勇军</t>
  </si>
  <si>
    <t xml:space="preserve">	廖开济_x000D_
</t>
  </si>
  <si>
    <t>邹子轩</t>
  </si>
  <si>
    <t xml:space="preserve">	颛孙伟奇_x000D_
</t>
  </si>
  <si>
    <t>年爱温茂</t>
  </si>
  <si>
    <t xml:space="preserve">	充宏逸_x000D_
</t>
  </si>
  <si>
    <t>司空玉泉</t>
  </si>
  <si>
    <t xml:space="preserve">	荀正德_x000D_
</t>
  </si>
  <si>
    <t>况後英韶</t>
  </si>
  <si>
    <t>缪楚楚</t>
  </si>
  <si>
    <t>贡品韵</t>
  </si>
  <si>
    <t>訾雪晴</t>
  </si>
  <si>
    <t>芮易容</t>
  </si>
  <si>
    <t>宗思娜</t>
  </si>
  <si>
    <t>毋优璇</t>
  </si>
  <si>
    <t>胡从霜</t>
  </si>
  <si>
    <t>慕容洁玉</t>
  </si>
  <si>
    <t>扈博敏</t>
  </si>
  <si>
    <t>巩芮悦</t>
  </si>
  <si>
    <t>高典雅</t>
  </si>
  <si>
    <t>季密如</t>
  </si>
  <si>
    <t>雷雁枫</t>
  </si>
  <si>
    <t>许恨风</t>
  </si>
  <si>
    <t>晋楚洁静</t>
  </si>
  <si>
    <t>劳听莲</t>
  </si>
  <si>
    <t>沈新梅</t>
  </si>
  <si>
    <t>倪晓灵</t>
  </si>
  <si>
    <t>岑雨寒</t>
  </si>
  <si>
    <t>薛傲白</t>
  </si>
  <si>
    <t>益韶仪</t>
  </si>
  <si>
    <t>敖哲美</t>
  </si>
  <si>
    <t>卫听露</t>
  </si>
  <si>
    <t>晁芳蔼</t>
  </si>
  <si>
    <t>韦谷秋</t>
  </si>
  <si>
    <t>巫谨佳</t>
  </si>
  <si>
    <t>鄂情文</t>
  </si>
  <si>
    <t>干梦凡</t>
  </si>
  <si>
    <t>喻梓彤</t>
  </si>
  <si>
    <t>云香莲</t>
  </si>
  <si>
    <t>濮阳语燕</t>
  </si>
  <si>
    <t>黄寻梅</t>
  </si>
  <si>
    <t>闫法娅玟</t>
  </si>
  <si>
    <t>和雨婷</t>
  </si>
  <si>
    <t>裴思慧</t>
  </si>
  <si>
    <t>满莹莹</t>
  </si>
  <si>
    <t>严暖姝</t>
  </si>
  <si>
    <t>纪山梅</t>
  </si>
  <si>
    <t>乐正慕晴</t>
  </si>
  <si>
    <t>庞玉环</t>
  </si>
  <si>
    <t>宦璎玑</t>
  </si>
  <si>
    <t>贲安莲</t>
  </si>
  <si>
    <t>湛弘丽</t>
  </si>
  <si>
    <t>唐碧菡</t>
  </si>
  <si>
    <t>太叔问兰</t>
  </si>
  <si>
    <t>储安琪</t>
  </si>
  <si>
    <t>岳帅采绿</t>
  </si>
  <si>
    <t>邓醉易</t>
  </si>
  <si>
    <t>利微澜</t>
  </si>
  <si>
    <t>项绮怀</t>
  </si>
  <si>
    <t>井晓亦</t>
  </si>
  <si>
    <t>文琨瑜</t>
  </si>
  <si>
    <t>郁璎玑</t>
  </si>
  <si>
    <t>严夜春</t>
  </si>
  <si>
    <t>缪恬悦</t>
  </si>
  <si>
    <t>曹冰彤</t>
  </si>
  <si>
    <t>梅碧春</t>
  </si>
  <si>
    <t>朱丽华</t>
  </si>
  <si>
    <t>童洁静</t>
  </si>
  <si>
    <t>於慕凝</t>
  </si>
  <si>
    <t>咎姣丽</t>
  </si>
  <si>
    <t>严凝云</t>
  </si>
  <si>
    <t>缑亢丽芳</t>
  </si>
  <si>
    <t>左尔蝶</t>
  </si>
  <si>
    <t>郎天籁</t>
  </si>
  <si>
    <t>包奇颖</t>
  </si>
  <si>
    <t>夹谷思天</t>
  </si>
  <si>
    <t>宿皎洁</t>
  </si>
  <si>
    <t>桑夏波</t>
  </si>
  <si>
    <t>有琴平蝶</t>
  </si>
  <si>
    <t>严齐敏</t>
  </si>
  <si>
    <t>冀流如</t>
  </si>
  <si>
    <t>封心香</t>
  </si>
  <si>
    <t>唐翠丝</t>
  </si>
  <si>
    <t>逯乐枫</t>
  </si>
  <si>
    <t>郦灵薇</t>
  </si>
  <si>
    <t>傅凝旋</t>
  </si>
  <si>
    <t>惠叶舞</t>
  </si>
  <si>
    <t>禹慕悦</t>
  </si>
  <si>
    <t>徐诗翠</t>
  </si>
  <si>
    <t>况後初然</t>
  </si>
  <si>
    <t>蒋怡畅</t>
  </si>
  <si>
    <t>那一嘉</t>
  </si>
  <si>
    <t>喻凡雁</t>
  </si>
  <si>
    <t>暴多思</t>
  </si>
  <si>
    <t>游幼翠</t>
  </si>
  <si>
    <t>伍佳美</t>
  </si>
  <si>
    <t>漆雕以寒</t>
  </si>
  <si>
    <t>薛梦桃</t>
  </si>
  <si>
    <t>咎静恬</t>
  </si>
  <si>
    <t>牛碧凡</t>
  </si>
  <si>
    <t>妫海甘泽</t>
  </si>
  <si>
    <t>车姿蝉</t>
  </si>
  <si>
    <t>容秋玉</t>
  </si>
  <si>
    <t>沈雅歌</t>
  </si>
  <si>
    <t>须林楠</t>
  </si>
  <si>
    <t>俟琇云</t>
  </si>
  <si>
    <t>崔敏思</t>
  </si>
  <si>
    <t>滕雅洁</t>
  </si>
  <si>
    <t>印觅双</t>
  </si>
  <si>
    <t>饭塚智辉</t>
    <phoneticPr fontId="2" type="noConversion"/>
  </si>
  <si>
    <t>一色奏音</t>
  </si>
  <si>
    <t>尾形智史</t>
  </si>
  <si>
    <t>柳沢幸大</t>
  </si>
  <si>
    <t>平冈佳右</t>
  </si>
  <si>
    <t>冈村彻平</t>
  </si>
  <si>
    <t>吉冈瑞希</t>
  </si>
  <si>
    <t>海野右京</t>
  </si>
  <si>
    <t>坪井稜</t>
  </si>
  <si>
    <t>西原快人</t>
  </si>
  <si>
    <t>桑田悠大</t>
  </si>
  <si>
    <t>有马树</t>
  </si>
  <si>
    <t>山川祥</t>
  </si>
  <si>
    <t>依田阳登</t>
  </si>
  <si>
    <t>东雄一</t>
  </si>
  <si>
    <t>川本心</t>
  </si>
  <si>
    <t>北岛智大</t>
  </si>
  <si>
    <t>小宫阳登</t>
  </si>
  <si>
    <t>安东竣</t>
  </si>
  <si>
    <t>森胁亮平</t>
  </si>
  <si>
    <t>川端航大</t>
  </si>
  <si>
    <t>安原知也</t>
  </si>
  <si>
    <t>真野智久</t>
  </si>
  <si>
    <t>堀越琉伟</t>
  </si>
  <si>
    <t>明石哲平</t>
  </si>
  <si>
    <t>宫岛真吾</t>
  </si>
  <si>
    <t>副岛庆悟</t>
  </si>
  <si>
    <t>川崎亮太</t>
  </si>
  <si>
    <t>大森阳辉</t>
  </si>
  <si>
    <t>土肥苍太</t>
  </si>
  <si>
    <t>松村勇真</t>
  </si>
  <si>
    <t>冲大喜</t>
  </si>
  <si>
    <t>秋田温人</t>
  </si>
  <si>
    <t>结城晃太</t>
  </si>
  <si>
    <t>笠井柊斗</t>
  </si>
  <si>
    <t>金守</t>
  </si>
  <si>
    <t>古沢洸希</t>
  </si>
  <si>
    <t>竹内俊太郎</t>
  </si>
  <si>
    <t>梅村善</t>
  </si>
  <si>
    <t>植田优也</t>
  </si>
  <si>
    <t>管沼泰生</t>
  </si>
  <si>
    <t>浜口凉太郎</t>
  </si>
  <si>
    <t>高崎阳葵</t>
  </si>
  <si>
    <t>黒田启斗</t>
  </si>
  <si>
    <t>鎌田悠纪</t>
  </si>
  <si>
    <t>城一</t>
  </si>
  <si>
    <t>远藤健一</t>
  </si>
  <si>
    <t>横尾大斗</t>
  </si>
  <si>
    <t>古谷右介</t>
  </si>
  <si>
    <t>戸田快</t>
  </si>
  <si>
    <t>高瀬谦信</t>
  </si>
  <si>
    <t>茂木泰辉</t>
  </si>
  <si>
    <t>下川拓梦</t>
  </si>
  <si>
    <t>小室翔也</t>
  </si>
  <si>
    <t>富永耀</t>
  </si>
  <si>
    <t>熊野佑</t>
  </si>
  <si>
    <t>坪内勇树</t>
  </si>
  <si>
    <t>戸田苍斗</t>
  </si>
  <si>
    <t>尾上秀树</t>
  </si>
  <si>
    <t>竹原洸希</t>
  </si>
  <si>
    <t>西和弘</t>
  </si>
  <si>
    <t>驹井龙辉</t>
  </si>
  <si>
    <t>若林璃久</t>
  </si>
  <si>
    <t>豊田凛人</t>
  </si>
  <si>
    <t>高森雄真</t>
  </si>
  <si>
    <t>若林想太</t>
  </si>
  <si>
    <t>岛右希</t>
  </si>
  <si>
    <t>朝仓颯汰</t>
  </si>
  <si>
    <t>饭田諭</t>
  </si>
  <si>
    <t>奥村武尊</t>
  </si>
  <si>
    <t>海野智也</t>
  </si>
  <si>
    <t>三桥太朗</t>
  </si>
  <si>
    <t>杉山柊</t>
  </si>
  <si>
    <t>松平然</t>
  </si>
  <si>
    <t>沢井竜之介</t>
  </si>
  <si>
    <t>金城晴斗</t>
  </si>
  <si>
    <t>小池宏树</t>
  </si>
  <si>
    <t>河野优翔</t>
  </si>
  <si>
    <t>岩村结</t>
  </si>
  <si>
    <t>冈本豪</t>
  </si>
  <si>
    <t>小野晃生</t>
  </si>
  <si>
    <t>田岛贵文</t>
  </si>
  <si>
    <t>本间苍空</t>
  </si>
  <si>
    <t>保田遥大</t>
  </si>
  <si>
    <t>堀越颯马</t>
  </si>
  <si>
    <t>横井胜</t>
  </si>
  <si>
    <t>広瀬大斗</t>
  </si>
  <si>
    <t>下村阳人</t>
  </si>
  <si>
    <t>瀬戸苍马</t>
  </si>
  <si>
    <t>吉崎和真</t>
  </si>
  <si>
    <t>长瀬康太</t>
  </si>
  <si>
    <t>野村敬太</t>
  </si>
  <si>
    <t>深田力</t>
  </si>
  <si>
    <t>大江凉太</t>
  </si>
  <si>
    <t>富沢秀真</t>
  </si>
  <si>
    <t>宫川隆</t>
  </si>
  <si>
    <t>土屋歩</t>
  </si>
  <si>
    <t>川合雅人</t>
  </si>
  <si>
    <t>新井裕也</t>
  </si>
  <si>
    <t>荒木葵</t>
  </si>
  <si>
    <t>毛利和香子</t>
  </si>
  <si>
    <t>大林郁江</t>
  </si>
  <si>
    <t>野沢有子</t>
  </si>
  <si>
    <t>下田育恵</t>
  </si>
  <si>
    <t>青柳雅子</t>
  </si>
  <si>
    <t>正木冬美</t>
  </si>
  <si>
    <t>茂木郁江</t>
  </si>
  <si>
    <t>赤松裕纪</t>
  </si>
  <si>
    <t>藤沢尚子</t>
  </si>
  <si>
    <t>小原奈绪子</t>
  </si>
  <si>
    <t>加纳并恵</t>
  </si>
  <si>
    <t>新田真纱子</t>
  </si>
  <si>
    <t>山本久恵</t>
  </si>
  <si>
    <t>曽根真纯</t>
  </si>
  <si>
    <t>斎藤雪絵</t>
  </si>
  <si>
    <t>柳川広美</t>
  </si>
  <si>
    <t>坂田真由美</t>
  </si>
  <si>
    <t>白鸟友絵</t>
  </si>
  <si>
    <t>加藤里佳</t>
  </si>
  <si>
    <t>竹下歳子</t>
  </si>
  <si>
    <t>三村幸</t>
  </si>
  <si>
    <t>松井舞</t>
  </si>
  <si>
    <t>园田友江</t>
  </si>
  <si>
    <t>中里奈绪</t>
  </si>
  <si>
    <t>臼井理奈</t>
  </si>
  <si>
    <t>宫岛公美子</t>
  </si>
  <si>
    <t>赤松丽嘉</t>
  </si>
  <si>
    <t>秦沙都子</t>
  </si>
  <si>
    <t>长谷川</t>
  </si>
  <si>
    <t>小栗百恵</t>
  </si>
  <si>
    <t>坂田真子</t>
  </si>
  <si>
    <t>神崎绫</t>
  </si>
  <si>
    <t>国井未央</t>
  </si>
  <si>
    <t>门胁経子哲子</t>
  </si>
  <si>
    <t>山路睦子</t>
  </si>
  <si>
    <t>森冈美纱绪</t>
  </si>
  <si>
    <t>土屋茜</t>
  </si>
  <si>
    <t>斉藤岬</t>
  </si>
  <si>
    <t>细井逸美</t>
  </si>
  <si>
    <t>夏目新名</t>
  </si>
  <si>
    <t>须贺稚子</t>
  </si>
  <si>
    <t>本郷美香子</t>
  </si>
  <si>
    <t>赤尾絵凛</t>
  </si>
  <si>
    <t>嵐亜纪子</t>
  </si>
  <si>
    <t>根本裕纪</t>
  </si>
  <si>
    <t>中林铃子</t>
  </si>
  <si>
    <t>浅井隆子</t>
  </si>
  <si>
    <t>东歳子</t>
  </si>
  <si>
    <t>藤木永子</t>
  </si>
  <si>
    <t>草野智</t>
  </si>
  <si>
    <t>神崎千秋</t>
  </si>
  <si>
    <t>绪方彻子</t>
  </si>
  <si>
    <t>北沢桃</t>
  </si>
  <si>
    <t>池本香奈</t>
  </si>
  <si>
    <t>高井千穂</t>
  </si>
  <si>
    <t>永野真帆</t>
  </si>
  <si>
    <t>平山纪江</t>
  </si>
  <si>
    <t>越智顺子</t>
  </si>
  <si>
    <t>柳川里佳</t>
  </si>
  <si>
    <t>佐藤智子</t>
  </si>
  <si>
    <t>吉田恵理</t>
  </si>
  <si>
    <t>木本絵凛</t>
  </si>
  <si>
    <t>池本千佳子</t>
  </si>
  <si>
    <t>喜多真佐子</t>
  </si>
  <si>
    <t>高崎加南</t>
  </si>
  <si>
    <t>乾亜希子</t>
  </si>
  <si>
    <t>大森珪</t>
  </si>
  <si>
    <t>小山佐和子</t>
  </si>
  <si>
    <t>佐々木理穂</t>
  </si>
  <si>
    <t>広瀬美夏</t>
  </si>
  <si>
    <t>泉欣子</t>
  </si>
  <si>
    <t>福山喜恵子</t>
  </si>
  <si>
    <t>山下栄美</t>
  </si>
  <si>
    <t>川原真树</t>
  </si>
  <si>
    <t>相马宜子</t>
  </si>
  <si>
    <t>藤沢真奈美</t>
  </si>
  <si>
    <t>三谷麻理</t>
  </si>
  <si>
    <t>泉泉美</t>
  </si>
  <si>
    <t>山内恵理</t>
  </si>
  <si>
    <t>小平直美</t>
  </si>
  <si>
    <t>稲村加奈子</t>
  </si>
  <si>
    <t>塩见苑子</t>
  </si>
  <si>
    <t>八木美佳</t>
  </si>
  <si>
    <t>松川慧子</t>
  </si>
  <si>
    <t>下川摩耶</t>
  </si>
  <si>
    <t>井田智</t>
  </si>
  <si>
    <t>平野喜久江</t>
  </si>
  <si>
    <t>平沢桃</t>
  </si>
  <si>
    <t>平塚铃奈</t>
  </si>
  <si>
    <t>田坂佐波</t>
  </si>
  <si>
    <t>荻野辰美</t>
  </si>
  <si>
    <t>藤田文恵</t>
  </si>
  <si>
    <t>千田记子</t>
  </si>
  <si>
    <t>香川真纱子</t>
  </si>
  <si>
    <t>山胁安</t>
  </si>
  <si>
    <t>三沢未央</t>
  </si>
  <si>
    <t>相沢叶子</t>
  </si>
  <si>
    <t>椿浄子</t>
  </si>
  <si>
    <t>坂上多津子</t>
  </si>
  <si>
    <t>狂人</t>
    <phoneticPr fontId="2" type="noConversion"/>
  </si>
  <si>
    <t>魍魉</t>
    <phoneticPr fontId="2" type="noConversion"/>
  </si>
  <si>
    <t>乖乖</t>
    <phoneticPr fontId="2" type="noConversion"/>
  </si>
  <si>
    <t>布丁</t>
    <phoneticPr fontId="2" type="noConversion"/>
  </si>
  <si>
    <t>影子</t>
    <phoneticPr fontId="2" type="noConversion"/>
  </si>
  <si>
    <t>笨蛋</t>
    <phoneticPr fontId="2" type="noConversion"/>
  </si>
  <si>
    <t>老王</t>
    <phoneticPr fontId="2" type="noConversion"/>
  </si>
  <si>
    <t>盛世·</t>
    <phoneticPr fontId="2" type="noConversion"/>
  </si>
  <si>
    <t>皇族☆</t>
    <phoneticPr fontId="2" type="noConversion"/>
  </si>
  <si>
    <t>【噬魂】</t>
    <phoneticPr fontId="2" type="noConversion"/>
  </si>
  <si>
    <t>虫虫</t>
    <phoneticPr fontId="2" type="noConversion"/>
  </si>
  <si>
    <t>女神</t>
    <phoneticPr fontId="2" type="noConversion"/>
  </si>
  <si>
    <t>屌丝</t>
    <phoneticPr fontId="2" type="noConversion"/>
  </si>
  <si>
    <t>金</t>
    <phoneticPr fontId="2" type="noConversion"/>
  </si>
  <si>
    <t>特工</t>
    <phoneticPr fontId="2" type="noConversion"/>
  </si>
  <si>
    <t>消防员</t>
    <phoneticPr fontId="2" type="noConversion"/>
  </si>
  <si>
    <t>Crazy◇</t>
    <phoneticPr fontId="2" type="noConversion"/>
  </si>
  <si>
    <t>无忧⊙</t>
    <phoneticPr fontId="2" type="noConversion"/>
  </si>
  <si>
    <r>
      <t>L</t>
    </r>
    <r>
      <rPr>
        <sz val="11"/>
        <color indexed="8"/>
        <rFont val="宋体"/>
        <charset val="134"/>
      </rPr>
      <t>uck♂</t>
    </r>
    <phoneticPr fontId="2" type="noConversion"/>
  </si>
  <si>
    <t>冯</t>
    <phoneticPr fontId="2" type="noConversion"/>
  </si>
  <si>
    <t>骑士</t>
    <phoneticPr fontId="2" type="noConversion"/>
  </si>
  <si>
    <t>龙骑士</t>
    <phoneticPr fontId="2" type="noConversion"/>
  </si>
  <si>
    <t>魔导师</t>
    <phoneticPr fontId="2" type="noConversion"/>
  </si>
  <si>
    <t>星语者</t>
    <phoneticPr fontId="2" type="noConversion"/>
  </si>
  <si>
    <t>灵能者</t>
    <phoneticPr fontId="2" type="noConversion"/>
  </si>
  <si>
    <t>圣战№</t>
    <phoneticPr fontId="2" type="noConversion"/>
  </si>
  <si>
    <t>血族×</t>
    <phoneticPr fontId="2" type="noConversion"/>
  </si>
  <si>
    <t>盛世·狂人</t>
  </si>
  <si>
    <t>盛世·魍魉</t>
  </si>
  <si>
    <t>盛世·乖乖</t>
  </si>
  <si>
    <t>盛世·布丁</t>
  </si>
  <si>
    <t>盛世·影子</t>
  </si>
  <si>
    <t>盛世·笨蛋</t>
  </si>
  <si>
    <t>盛世·老王</t>
  </si>
  <si>
    <t>盛世·虫虫</t>
  </si>
  <si>
    <t>盛世·女神</t>
  </si>
  <si>
    <t>盛世·屌丝</t>
  </si>
  <si>
    <t>盛世·金</t>
  </si>
  <si>
    <t>盛世·特工</t>
  </si>
  <si>
    <t>盛世·消防员</t>
  </si>
  <si>
    <t>盛世·冯</t>
  </si>
  <si>
    <t>盛世·骑士</t>
  </si>
  <si>
    <t>盛世·龙骑士</t>
  </si>
  <si>
    <t>盛世·魔导师</t>
  </si>
  <si>
    <t>盛世·星语者</t>
  </si>
  <si>
    <t>盛世·灵能者</t>
  </si>
  <si>
    <t>皇族☆狂人</t>
  </si>
  <si>
    <t>皇族☆魍魉</t>
  </si>
  <si>
    <t>皇族☆乖乖</t>
  </si>
  <si>
    <t>皇族☆布丁</t>
  </si>
  <si>
    <t>皇族☆影子</t>
  </si>
  <si>
    <t>皇族☆笨蛋</t>
  </si>
  <si>
    <t>皇族☆老王</t>
  </si>
  <si>
    <t>皇族☆虫虫</t>
  </si>
  <si>
    <t>皇族☆女神</t>
  </si>
  <si>
    <t>皇族☆屌丝</t>
  </si>
  <si>
    <t>皇族☆金</t>
  </si>
  <si>
    <t>皇族☆特工</t>
  </si>
  <si>
    <t>皇族☆消防员</t>
  </si>
  <si>
    <t>皇族☆冯</t>
  </si>
  <si>
    <t>皇族☆骑士</t>
  </si>
  <si>
    <t>皇族☆龙骑士</t>
  </si>
  <si>
    <t>皇族☆魔导师</t>
  </si>
  <si>
    <t>皇族☆星语者</t>
  </si>
  <si>
    <t>皇族☆灵能者</t>
  </si>
  <si>
    <t>【噬魂】狂人</t>
  </si>
  <si>
    <t>【噬魂】魍魉</t>
  </si>
  <si>
    <t>【噬魂】乖乖</t>
  </si>
  <si>
    <t>【噬魂】布丁</t>
  </si>
  <si>
    <t>【噬魂】影子</t>
  </si>
  <si>
    <t>【噬魂】笨蛋</t>
  </si>
  <si>
    <t>【噬魂】老王</t>
  </si>
  <si>
    <t>【噬魂】虫虫</t>
  </si>
  <si>
    <t>【噬魂】女神</t>
  </si>
  <si>
    <t>【噬魂】屌丝</t>
  </si>
  <si>
    <t>【噬魂】金</t>
  </si>
  <si>
    <t>【噬魂】特工</t>
  </si>
  <si>
    <t>【噬魂】消防员</t>
  </si>
  <si>
    <t>【噬魂】冯</t>
  </si>
  <si>
    <t>【噬魂】骑士</t>
  </si>
  <si>
    <t>【噬魂】龙骑士</t>
  </si>
  <si>
    <t>【噬魂】魔导师</t>
  </si>
  <si>
    <t>【噬魂】星语者</t>
  </si>
  <si>
    <t>【噬魂】灵能者</t>
  </si>
  <si>
    <t>Crazy◇狂人</t>
  </si>
  <si>
    <t>Crazy◇魍魉</t>
  </si>
  <si>
    <t>Crazy◇乖乖</t>
  </si>
  <si>
    <t>Crazy◇布丁</t>
  </si>
  <si>
    <t>Crazy◇影子</t>
  </si>
  <si>
    <t>Crazy◇笨蛋</t>
  </si>
  <si>
    <t>Crazy◇老王</t>
  </si>
  <si>
    <t>Crazy◇虫虫</t>
  </si>
  <si>
    <t>Crazy◇女神</t>
  </si>
  <si>
    <t>Crazy◇屌丝</t>
  </si>
  <si>
    <t>Crazy◇金</t>
  </si>
  <si>
    <t>Crazy◇特工</t>
  </si>
  <si>
    <t>Crazy◇消防员</t>
  </si>
  <si>
    <t>Crazy◇冯</t>
  </si>
  <si>
    <t>Crazy◇骑士</t>
  </si>
  <si>
    <t>Crazy◇龙骑士</t>
  </si>
  <si>
    <t>Crazy◇魔导师</t>
  </si>
  <si>
    <t>Crazy◇星语者</t>
  </si>
  <si>
    <t>Crazy◇灵能者</t>
  </si>
  <si>
    <t>无忧⊙狂人</t>
  </si>
  <si>
    <t>无忧⊙魍魉</t>
  </si>
  <si>
    <t>无忧⊙乖乖</t>
  </si>
  <si>
    <t>无忧⊙布丁</t>
  </si>
  <si>
    <t>无忧⊙影子</t>
  </si>
  <si>
    <t>无忧⊙笨蛋</t>
  </si>
  <si>
    <t>无忧⊙老王</t>
  </si>
  <si>
    <t>无忧⊙虫虫</t>
  </si>
  <si>
    <t>无忧⊙女神</t>
  </si>
  <si>
    <t>无忧⊙屌丝</t>
  </si>
  <si>
    <t>无忧⊙金</t>
  </si>
  <si>
    <t>无忧⊙特工</t>
  </si>
  <si>
    <t>无忧⊙消防员</t>
  </si>
  <si>
    <t>无忧⊙冯</t>
  </si>
  <si>
    <t>无忧⊙骑士</t>
  </si>
  <si>
    <t>无忧⊙龙骑士</t>
  </si>
  <si>
    <t>无忧⊙魔导师</t>
  </si>
  <si>
    <t>无忧⊙星语者</t>
  </si>
  <si>
    <t>无忧⊙灵能者</t>
  </si>
  <si>
    <t>Luck♂狂人</t>
  </si>
  <si>
    <t>Luck♂魍魉</t>
  </si>
  <si>
    <t>Luck♂乖乖</t>
  </si>
  <si>
    <t>Luck♂布丁</t>
  </si>
  <si>
    <t>Luck♂影子</t>
  </si>
  <si>
    <t>Luck♂笨蛋</t>
  </si>
  <si>
    <t>Luck♂老王</t>
  </si>
  <si>
    <t>Luck♂虫虫</t>
  </si>
  <si>
    <t>Luck♂女神</t>
  </si>
  <si>
    <t>Luck♂屌丝</t>
  </si>
  <si>
    <t>Luck♂金</t>
  </si>
  <si>
    <t>Luck♂特工</t>
  </si>
  <si>
    <t>Luck♂消防员</t>
  </si>
  <si>
    <t>Luck♂冯</t>
  </si>
  <si>
    <t>Luck♂骑士</t>
  </si>
  <si>
    <t>Luck♂龙骑士</t>
  </si>
  <si>
    <t>Luck♂魔导师</t>
  </si>
  <si>
    <t>Luck♂星语者</t>
  </si>
  <si>
    <t>Luck♂灵能者</t>
  </si>
  <si>
    <t>圣战№狂人</t>
  </si>
  <si>
    <t>圣战№魍魉</t>
  </si>
  <si>
    <t>圣战№乖乖</t>
  </si>
  <si>
    <t>圣战№布丁</t>
  </si>
  <si>
    <t>圣战№影子</t>
  </si>
  <si>
    <t>圣战№笨蛋</t>
  </si>
  <si>
    <t>圣战№老王</t>
  </si>
  <si>
    <t>圣战№虫虫</t>
  </si>
  <si>
    <t>圣战№女神</t>
  </si>
  <si>
    <t>圣战№屌丝</t>
  </si>
  <si>
    <t>圣战№金</t>
  </si>
  <si>
    <t>圣战№特工</t>
  </si>
  <si>
    <t>圣战№消防员</t>
  </si>
  <si>
    <t>圣战№冯</t>
  </si>
  <si>
    <t>圣战№骑士</t>
  </si>
  <si>
    <t>圣战№龙骑士</t>
  </si>
  <si>
    <t>圣战№魔导师</t>
  </si>
  <si>
    <t>圣战№星语者</t>
  </si>
  <si>
    <t>圣战№灵能者</t>
  </si>
  <si>
    <t>血族×狂人</t>
  </si>
  <si>
    <t>血族×魍魉</t>
  </si>
  <si>
    <t>血族×乖乖</t>
  </si>
  <si>
    <t>血族×布丁</t>
  </si>
  <si>
    <t>血族×影子</t>
  </si>
  <si>
    <t>血族×笨蛋</t>
  </si>
  <si>
    <t>血族×老王</t>
  </si>
  <si>
    <t>血族×虫虫</t>
  </si>
  <si>
    <t>血族×女神</t>
  </si>
  <si>
    <t>血族×屌丝</t>
  </si>
  <si>
    <t>血族×金</t>
  </si>
  <si>
    <t>血族×特工</t>
  </si>
  <si>
    <t>血族×消防员</t>
  </si>
  <si>
    <t>血族×冯</t>
  </si>
  <si>
    <t>血族×骑士</t>
  </si>
  <si>
    <t>血族×龙骑士</t>
  </si>
  <si>
    <t>血族×魔导师</t>
  </si>
  <si>
    <t>血族×星语者</t>
  </si>
  <si>
    <t xml:space="preserve">	戈德水_x000D_
</t>
    <phoneticPr fontId="2" type="noConversion"/>
  </si>
  <si>
    <t xml:space="preserve">	司空楷</t>
  </si>
  <si>
    <t xml:space="preserve">	羊舌俊</t>
  </si>
  <si>
    <t xml:space="preserve">	倪炫明</t>
  </si>
  <si>
    <t xml:space="preserve">	丁炎彬</t>
  </si>
  <si>
    <t xml:space="preserve">	麻阳旭</t>
  </si>
  <si>
    <t xml:space="preserve">	赫连翰</t>
  </si>
  <si>
    <t xml:space="preserve">	喻星剑</t>
  </si>
  <si>
    <t xml:space="preserve">	闻兴怀</t>
  </si>
  <si>
    <t xml:space="preserve">	宰父向</t>
  </si>
  <si>
    <t xml:space="preserve">	辛承教</t>
  </si>
  <si>
    <t xml:space="preserve">	岑睿慈</t>
  </si>
  <si>
    <t xml:space="preserve">	马文华</t>
  </si>
  <si>
    <t xml:space="preserve">	蓬阳舒</t>
  </si>
  <si>
    <t xml:space="preserve">	詹鹏海</t>
  </si>
  <si>
    <t xml:space="preserve">	余鸿飞</t>
  </si>
  <si>
    <t xml:space="preserve">	殴英睿</t>
  </si>
  <si>
    <t xml:space="preserve">	芮鹏翼</t>
  </si>
  <si>
    <t xml:space="preserve">	钟成益</t>
  </si>
  <si>
    <t xml:space="preserve">	戈德水</t>
    <phoneticPr fontId="2" type="noConversion"/>
  </si>
  <si>
    <t>C</t>
  </si>
  <si>
    <t>name</t>
    <phoneticPr fontId="2" type="noConversion"/>
  </si>
  <si>
    <t>url</t>
    <phoneticPr fontId="2" type="noConversion"/>
  </si>
  <si>
    <t>port</t>
    <phoneticPr fontId="2" type="noConversion"/>
  </si>
  <si>
    <t>N</t>
    <phoneticPr fontId="2" type="noConversion"/>
  </si>
  <si>
    <t>C</t>
    <phoneticPr fontId="2" type="noConversion"/>
  </si>
  <si>
    <t>config的名字</t>
    <phoneticPr fontId="2" type="noConversion"/>
  </si>
  <si>
    <t>url地址 或者 pomelo 地址</t>
    <phoneticPr fontId="2" type="noConversion"/>
  </si>
  <si>
    <t>pomelo 端口号</t>
    <phoneticPr fontId="2" type="noConversion"/>
  </si>
  <si>
    <t>GetBarTask</t>
    <phoneticPr fontId="2" type="noConversion"/>
  </si>
  <si>
    <t>GetWorkTask</t>
    <phoneticPr fontId="2" type="noConversion"/>
  </si>
  <si>
    <t>FinishBarTask</t>
    <phoneticPr fontId="2" type="noConversion"/>
  </si>
  <si>
    <t>FinishWorkTask</t>
    <phoneticPr fontId="2" type="noConversion"/>
  </si>
  <si>
    <t>GetHomeTask</t>
    <phoneticPr fontId="2" type="noConversion"/>
  </si>
  <si>
    <t>FinishHomeTask</t>
    <phoneticPr fontId="2" type="noConversion"/>
  </si>
  <si>
    <t>ChatServer</t>
    <phoneticPr fontId="2" type="noConversion"/>
  </si>
  <si>
    <t>CenterServerRegister</t>
    <phoneticPr fontId="2" type="noConversion"/>
  </si>
  <si>
    <t>CenterServerLogin</t>
    <phoneticPr fontId="2" type="noConversion"/>
  </si>
  <si>
    <t>CenterServerList</t>
    <phoneticPr fontId="2" type="noConversion"/>
  </si>
  <si>
    <t>CenterServerUser</t>
    <phoneticPr fontId="2" type="noConversion"/>
  </si>
  <si>
    <t>CentergetClothInfo</t>
    <phoneticPr fontId="2" type="noConversion"/>
  </si>
  <si>
    <t>DiamondrankInfo</t>
    <phoneticPr fontId="2" type="noConversion"/>
  </si>
  <si>
    <t>CharmrankInfo</t>
    <phoneticPr fontId="2" type="noConversion"/>
  </si>
  <si>
    <t>PresentrankInfo</t>
    <phoneticPr fontId="2" type="noConversion"/>
  </si>
  <si>
    <t>RecvpresentrankInfo</t>
    <phoneticPr fontId="2" type="noConversion"/>
  </si>
  <si>
    <t>HTTPHeadURLCI</t>
    <phoneticPr fontId="2" type="noConversion"/>
  </si>
  <si>
    <t>HTTPHeadURLGet</t>
    <phoneticPr fontId="2" type="noConversion"/>
  </si>
  <si>
    <t>HTTPReName</t>
    <phoneticPr fontId="2" type="noConversion"/>
  </si>
  <si>
    <t>HTTPReSign</t>
    <phoneticPr fontId="2" type="noConversion"/>
  </si>
  <si>
    <t>ClothesSever</t>
    <phoneticPr fontId="2" type="noConversion"/>
  </si>
  <si>
    <t>SLGCenterServer</t>
    <phoneticPr fontId="2" type="noConversion"/>
  </si>
  <si>
    <t>ZoneServiceUrl</t>
    <phoneticPr fontId="2" type="noConversion"/>
  </si>
  <si>
    <t>C</t>
    <phoneticPr fontId="2" type="noConversion"/>
  </si>
  <si>
    <t>id</t>
    <phoneticPr fontId="2" type="noConversion"/>
  </si>
  <si>
    <t>N</t>
    <phoneticPr fontId="2" type="noConversion"/>
  </si>
  <si>
    <t>id</t>
    <phoneticPr fontId="2" type="noConversion"/>
  </si>
  <si>
    <t>GetEmails</t>
    <phoneticPr fontId="2" type="noConversion"/>
  </si>
  <si>
    <t>GetEmailDetail</t>
    <phoneticPr fontId="2" type="noConversion"/>
  </si>
  <si>
    <t>GetEmailPrize</t>
    <phoneticPr fontId="2" type="noConversion"/>
  </si>
  <si>
    <t>DelEmail</t>
    <phoneticPr fontId="2" type="noConversion"/>
  </si>
  <si>
    <t>CreateRole</t>
    <phoneticPr fontId="2" type="noConversion"/>
  </si>
  <si>
    <t>Rname</t>
    <phoneticPr fontId="2" type="noConversion"/>
  </si>
  <si>
    <t>Getinfo</t>
    <phoneticPr fontId="2" type="noConversion"/>
  </si>
  <si>
    <t>CenterServerBuyVip</t>
  </si>
  <si>
    <t>HTTPMorder</t>
    <phoneticPr fontId="2" type="noConversion"/>
  </si>
  <si>
    <t>HTTPRecharge</t>
    <phoneticPr fontId="2" type="noConversion"/>
  </si>
  <si>
    <t>Exchangescore</t>
    <phoneticPr fontId="2" type="noConversion"/>
  </si>
  <si>
    <t>AnchorThum</t>
    <phoneticPr fontId="2" type="noConversion"/>
  </si>
  <si>
    <t>AnchorThumList</t>
    <phoneticPr fontId="2" type="noConversion"/>
  </si>
  <si>
    <t>Getuserinfo</t>
    <phoneticPr fontId="2" type="noConversion"/>
  </si>
  <si>
    <t>Changecontent</t>
    <phoneticPr fontId="2" type="noConversion"/>
  </si>
  <si>
    <t>Changephone</t>
    <phoneticPr fontId="2" type="noConversion"/>
  </si>
  <si>
    <t>Changeemail</t>
    <phoneticPr fontId="2" type="noConversion"/>
  </si>
  <si>
    <t>Register</t>
    <phoneticPr fontId="2" type="noConversion"/>
  </si>
  <si>
    <t>Modfast</t>
    <phoneticPr fontId="2" type="noConversion"/>
  </si>
  <si>
    <t>Refereeinfo</t>
    <phoneticPr fontId="2" type="noConversion"/>
  </si>
  <si>
    <t>Exchangerefer</t>
    <phoneticPr fontId="2" type="noConversion"/>
  </si>
  <si>
    <t>Changepwd</t>
    <phoneticPr fontId="2" type="noConversion"/>
  </si>
  <si>
    <t>Verifyphone</t>
    <phoneticPr fontId="2" type="noConversion"/>
  </si>
  <si>
    <t>Verifymail</t>
    <phoneticPr fontId="2" type="noConversion"/>
  </si>
  <si>
    <t>Forgetpwd</t>
    <phoneticPr fontId="2" type="noConversion"/>
  </si>
  <si>
    <t>Verifypwd</t>
    <phoneticPr fontId="2" type="noConversion"/>
  </si>
  <si>
    <t>Mvpwd</t>
    <phoneticPr fontId="2" type="noConversion"/>
  </si>
  <si>
    <t>CiHead</t>
    <phoneticPr fontId="2" type="noConversion"/>
  </si>
  <si>
    <t>GetHead</t>
    <phoneticPr fontId="2" type="noConversion"/>
  </si>
  <si>
    <t>HttpGetName</t>
    <phoneticPr fontId="2" type="noConversion"/>
  </si>
  <si>
    <t>Livehost</t>
    <phoneticPr fontId="2" type="noConversion"/>
  </si>
  <si>
    <t>Bindsendcode</t>
  </si>
  <si>
    <t>Bindcash</t>
  </si>
  <si>
    <t>Getbindinfo</t>
  </si>
  <si>
    <t>Exchangecash</t>
  </si>
  <si>
    <t>Getcashinfo</t>
  </si>
  <si>
    <t>Getnickname</t>
    <phoneticPr fontId="2" type="noConversion"/>
  </si>
  <si>
    <t>Getreferee</t>
    <phoneticPr fontId="2" type="noConversion"/>
  </si>
  <si>
    <t>GetBarTaskNum</t>
    <phoneticPr fontId="2" type="noConversion"/>
  </si>
  <si>
    <t>GetWorkTaskNum</t>
    <phoneticPr fontId="2" type="noConversion"/>
  </si>
  <si>
    <t>GetHomeTaskNum</t>
    <phoneticPr fontId="2" type="noConversion"/>
  </si>
  <si>
    <t>192.168.1.213</t>
    <phoneticPr fontId="9" type="noConversion"/>
  </si>
  <si>
    <t>http://cp.mdm98.com</t>
  </si>
  <si>
    <t>192.168.1.211</t>
    <phoneticPr fontId="9" type="noConversion"/>
  </si>
  <si>
    <t>192.168.1.212</t>
    <phoneticPr fontId="9" type="noConversion"/>
  </si>
  <si>
    <t>192.168.1.213</t>
    <phoneticPr fontId="9" type="noConversion"/>
  </si>
  <si>
    <t>192.168.1.214</t>
    <phoneticPr fontId="9" type="noConversion"/>
  </si>
  <si>
    <t>策划</t>
    <phoneticPr fontId="9" type="noConversion"/>
  </si>
  <si>
    <t>qa</t>
    <phoneticPr fontId="9" type="noConversion"/>
  </si>
  <si>
    <t>开发</t>
    <phoneticPr fontId="9" type="noConversion"/>
  </si>
  <si>
    <t>数值</t>
    <phoneticPr fontId="9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</si>
</sst>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  <font>
      <sz val="10.5"/>
      <color indexed="8"/>
      <name val="Calibri"/>
      <family val="2"/>
    </font>
    <font>
      <sz val="10.5"/>
      <color indexed="8"/>
      <name val="宋体"/>
      <charset val="134"/>
    </font>
    <font>
      <b/>
      <sz val="12.8"/>
      <color indexed="17"/>
      <name val="宋体"/>
      <charset val="134"/>
    </font>
    <font>
      <sz val="11"/>
      <color theme="1"/>
      <name val="Tahoma"/>
      <family val="2"/>
    </font>
    <font>
      <u/>
      <sz val="11"/>
      <color theme="10"/>
      <name val="宋体"/>
      <charset val="134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>
      <alignment vertical="center"/>
    </xf>
    <xf numFmtId="0" fontId="1" fillId="0" borderId="0" xfId="1" applyFont="1"/>
    <xf numFmtId="0" fontId="0" fillId="0" borderId="0" xfId="1" applyFont="1"/>
    <xf numFmtId="0" fontId="0" fillId="0" borderId="0" xfId="1" applyFont="1" applyFill="1"/>
    <xf numFmtId="0" fontId="5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0" fontId="3" fillId="0" borderId="0" xfId="0" applyFont="1">
      <alignment vertical="center"/>
    </xf>
    <xf numFmtId="0" fontId="8" fillId="0" borderId="0" xfId="2" applyFill="1" applyAlignment="1" applyProtection="1"/>
    <xf numFmtId="0" fontId="8" fillId="0" borderId="0" xfId="2" applyFill="1" applyBorder="1" applyAlignment="1" applyProtection="1"/>
    <xf numFmtId="0" fontId="8" fillId="0" borderId="0" xfId="2" applyAlignment="1" applyProtection="1">
      <alignment vertical="center"/>
    </xf>
    <xf numFmtId="0" fontId="6" fillId="0" borderId="0" xfId="0" applyFont="1">
      <alignment vertical="center"/>
    </xf>
    <xf numFmtId="0" fontId="8" fillId="0" borderId="0" xfId="2" applyAlignment="1" applyProtection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80.168.81.142:50501/getrecvpresentrank" TargetMode="External"/><Relationship Id="rId18" Type="http://schemas.openxmlformats.org/officeDocument/2006/relationships/hyperlink" Target="http://180.168.81.142:50503/getCloth" TargetMode="External"/><Relationship Id="rId26" Type="http://schemas.openxmlformats.org/officeDocument/2006/relationships/hyperlink" Target="http://192.168.1.28:5150/getinfo" TargetMode="External"/><Relationship Id="rId39" Type="http://schemas.openxmlformats.org/officeDocument/2006/relationships/hyperlink" Target="http://192.168.1.28:5150/refereeinfo" TargetMode="External"/><Relationship Id="rId21" Type="http://schemas.openxmlformats.org/officeDocument/2006/relationships/hyperlink" Target="http://180.168.81.142:50501/getEmailPrize" TargetMode="External"/><Relationship Id="rId34" Type="http://schemas.openxmlformats.org/officeDocument/2006/relationships/hyperlink" Target="http://192.168.1.28:5150/changecontent" TargetMode="External"/><Relationship Id="rId42" Type="http://schemas.openxmlformats.org/officeDocument/2006/relationships/hyperlink" Target="http://192.168.1.28:5150/forgetpwd" TargetMode="External"/><Relationship Id="rId47" Type="http://schemas.openxmlformats.org/officeDocument/2006/relationships/hyperlink" Target="http://192.168.1.28:5700/ciHead" TargetMode="External"/><Relationship Id="rId50" Type="http://schemas.openxmlformats.org/officeDocument/2006/relationships/hyperlink" Target="http://&amp;sheet2!a1&amp;:5991/livehost" TargetMode="External"/><Relationship Id="rId55" Type="http://schemas.openxmlformats.org/officeDocument/2006/relationships/hyperlink" Target="http://192.168.1.28:5805/getalltask" TargetMode="External"/><Relationship Id="rId7" Type="http://schemas.openxmlformats.org/officeDocument/2006/relationships/hyperlink" Target="http://180.168.81.142:50501/user" TargetMode="External"/><Relationship Id="rId12" Type="http://schemas.openxmlformats.org/officeDocument/2006/relationships/hyperlink" Target="http://180.168.81.142:50501/getpresentrank" TargetMode="External"/><Relationship Id="rId17" Type="http://schemas.openxmlformats.org/officeDocument/2006/relationships/hyperlink" Target="http://180.168.81.142:50501/changecontent" TargetMode="External"/><Relationship Id="rId25" Type="http://schemas.openxmlformats.org/officeDocument/2006/relationships/hyperlink" Target="http://192.168.1.28:5150/rname" TargetMode="External"/><Relationship Id="rId33" Type="http://schemas.openxmlformats.org/officeDocument/2006/relationships/hyperlink" Target="http://192.168.1.28:5150/getuserinfo" TargetMode="External"/><Relationship Id="rId38" Type="http://schemas.openxmlformats.org/officeDocument/2006/relationships/hyperlink" Target="http://192.168.1.28:5150/modfast" TargetMode="External"/><Relationship Id="rId46" Type="http://schemas.openxmlformats.org/officeDocument/2006/relationships/hyperlink" Target="http://192.168.1.28:5150/mvpwd" TargetMode="External"/><Relationship Id="rId2" Type="http://schemas.openxmlformats.org/officeDocument/2006/relationships/hyperlink" Target="http://192.168.1.28:5805/finshalltask" TargetMode="External"/><Relationship Id="rId16" Type="http://schemas.openxmlformats.org/officeDocument/2006/relationships/hyperlink" Target="http://180.168.81.142:50501/changenickname" TargetMode="External"/><Relationship Id="rId20" Type="http://schemas.openxmlformats.org/officeDocument/2006/relationships/hyperlink" Target="http://180.168.81.142:50501/getEmailDetail" TargetMode="External"/><Relationship Id="rId29" Type="http://schemas.openxmlformats.org/officeDocument/2006/relationships/hyperlink" Target="http://192.168.1.28:5150/recharge" TargetMode="External"/><Relationship Id="rId41" Type="http://schemas.openxmlformats.org/officeDocument/2006/relationships/hyperlink" Target="http://192.168.1.28:5150/changepwd" TargetMode="External"/><Relationship Id="rId54" Type="http://schemas.openxmlformats.org/officeDocument/2006/relationships/hyperlink" Target="http://180.168.81.142:50502/getalltask" TargetMode="External"/><Relationship Id="rId1" Type="http://schemas.openxmlformats.org/officeDocument/2006/relationships/hyperlink" Target="http://192.168.1.28:5150/finshalltask" TargetMode="External"/><Relationship Id="rId6" Type="http://schemas.openxmlformats.org/officeDocument/2006/relationships/hyperlink" Target="http://180.168.81.142:50501/alist" TargetMode="External"/><Relationship Id="rId11" Type="http://schemas.openxmlformats.org/officeDocument/2006/relationships/hyperlink" Target="http://180.168.81.142:50501/getcharmrank" TargetMode="External"/><Relationship Id="rId24" Type="http://schemas.openxmlformats.org/officeDocument/2006/relationships/hyperlink" Target="http://192.168.1.28:5150/createRole" TargetMode="External"/><Relationship Id="rId32" Type="http://schemas.openxmlformats.org/officeDocument/2006/relationships/hyperlink" Target="http://192.168.1.28:5150/anchorThumList" TargetMode="External"/><Relationship Id="rId37" Type="http://schemas.openxmlformats.org/officeDocument/2006/relationships/hyperlink" Target="http://192.168.1.28:5150/register" TargetMode="External"/><Relationship Id="rId40" Type="http://schemas.openxmlformats.org/officeDocument/2006/relationships/hyperlink" Target="http://192.168.1.28:5150/exchangerefer" TargetMode="External"/><Relationship Id="rId45" Type="http://schemas.openxmlformats.org/officeDocument/2006/relationships/hyperlink" Target="http://192.168.1.28:5150/verifyphone" TargetMode="External"/><Relationship Id="rId53" Type="http://schemas.openxmlformats.org/officeDocument/2006/relationships/hyperlink" Target="http://192.168.1.28:5805/getalltask" TargetMode="External"/><Relationship Id="rId5" Type="http://schemas.openxmlformats.org/officeDocument/2006/relationships/hyperlink" Target="http://180.168.81.142:50501/" TargetMode="External"/><Relationship Id="rId15" Type="http://schemas.openxmlformats.org/officeDocument/2006/relationships/hyperlink" Target="http://180.168.81.142:50501/getHead" TargetMode="External"/><Relationship Id="rId23" Type="http://schemas.openxmlformats.org/officeDocument/2006/relationships/hyperlink" Target="http://180.168.81.142:50501/getalltask" TargetMode="External"/><Relationship Id="rId28" Type="http://schemas.openxmlformats.org/officeDocument/2006/relationships/hyperlink" Target="http://192.168.1.28:5150/morder" TargetMode="External"/><Relationship Id="rId36" Type="http://schemas.openxmlformats.org/officeDocument/2006/relationships/hyperlink" Target="http://192.168.1.28:5150/changeemail" TargetMode="External"/><Relationship Id="rId49" Type="http://schemas.openxmlformats.org/officeDocument/2006/relationships/hyperlink" Target="http://192.168.1.28:5150/getuserid" TargetMode="External"/><Relationship Id="rId10" Type="http://schemas.openxmlformats.org/officeDocument/2006/relationships/hyperlink" Target="http://180.168.81.142:50501/login" TargetMode="External"/><Relationship Id="rId19" Type="http://schemas.openxmlformats.org/officeDocument/2006/relationships/hyperlink" Target="http://180.168.81.142:50501/getEmails" TargetMode="External"/><Relationship Id="rId31" Type="http://schemas.openxmlformats.org/officeDocument/2006/relationships/hyperlink" Target="http://192.168.1.28:5150/anchorThum" TargetMode="External"/><Relationship Id="rId44" Type="http://schemas.openxmlformats.org/officeDocument/2006/relationships/hyperlink" Target="http://192.168.1.28:5150/verifymail" TargetMode="External"/><Relationship Id="rId52" Type="http://schemas.openxmlformats.org/officeDocument/2006/relationships/hyperlink" Target="http://192.168.1.28:5150/getreferee" TargetMode="External"/><Relationship Id="rId4" Type="http://schemas.openxmlformats.org/officeDocument/2006/relationships/hyperlink" Target="http://192.168.1.28:5700/finshalltask" TargetMode="External"/><Relationship Id="rId9" Type="http://schemas.openxmlformats.org/officeDocument/2006/relationships/hyperlink" Target="http://180.168.81.142:50501/getdiamondrank" TargetMode="External"/><Relationship Id="rId14" Type="http://schemas.openxmlformats.org/officeDocument/2006/relationships/hyperlink" Target="http://180.168.81.142:50501/ciHead" TargetMode="External"/><Relationship Id="rId22" Type="http://schemas.openxmlformats.org/officeDocument/2006/relationships/hyperlink" Target="http://180.168.81.142:50501/delEmail" TargetMode="External"/><Relationship Id="rId27" Type="http://schemas.openxmlformats.org/officeDocument/2006/relationships/hyperlink" Target="http://192.168.1.28:5150/buychatvip" TargetMode="External"/><Relationship Id="rId30" Type="http://schemas.openxmlformats.org/officeDocument/2006/relationships/hyperlink" Target="http://192.168.1.28:5150/exchangescore" TargetMode="External"/><Relationship Id="rId35" Type="http://schemas.openxmlformats.org/officeDocument/2006/relationships/hyperlink" Target="http://192.168.1.28:5150/changephone" TargetMode="External"/><Relationship Id="rId43" Type="http://schemas.openxmlformats.org/officeDocument/2006/relationships/hyperlink" Target="http://192.168.1.28:5150/verifypwd" TargetMode="External"/><Relationship Id="rId48" Type="http://schemas.openxmlformats.org/officeDocument/2006/relationships/hyperlink" Target="http://192.168.1.28:5700/getHead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http://180.168.81.142:50503/getCloth" TargetMode="External"/><Relationship Id="rId51" Type="http://schemas.openxmlformats.org/officeDocument/2006/relationships/hyperlink" Target="http://&amp;sheet2!a1&amp;:5150/getnickname" TargetMode="External"/><Relationship Id="rId3" Type="http://schemas.openxmlformats.org/officeDocument/2006/relationships/hyperlink" Target="http://180.168.81.142:50502/getalltas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9"/>
  <sheetViews>
    <sheetView topLeftCell="A37" workbookViewId="0">
      <selection activeCell="C74" sqref="C74"/>
    </sheetView>
  </sheetViews>
  <sheetFormatPr defaultColWidth="9" defaultRowHeight="13.5"/>
  <cols>
    <col min="2" max="2" width="43.625" customWidth="1"/>
    <col min="3" max="3" width="62.375" customWidth="1"/>
    <col min="4" max="4" width="55.625" customWidth="1"/>
  </cols>
  <sheetData>
    <row r="1" spans="1:4">
      <c r="A1" t="s">
        <v>628</v>
      </c>
      <c r="B1" t="s">
        <v>601</v>
      </c>
      <c r="C1" t="s">
        <v>601</v>
      </c>
      <c r="D1" t="s">
        <v>601</v>
      </c>
    </row>
    <row r="2" spans="1:4">
      <c r="A2" t="s">
        <v>629</v>
      </c>
      <c r="B2" s="1" t="s">
        <v>597</v>
      </c>
      <c r="C2" s="1" t="s">
        <v>598</v>
      </c>
      <c r="D2" s="1" t="s">
        <v>599</v>
      </c>
    </row>
    <row r="3" spans="1:4">
      <c r="A3" t="s">
        <v>630</v>
      </c>
      <c r="B3" s="1" t="s">
        <v>601</v>
      </c>
      <c r="C3" s="1" t="s">
        <v>596</v>
      </c>
      <c r="D3" s="1" t="s">
        <v>600</v>
      </c>
    </row>
    <row r="4" spans="1:4">
      <c r="B4" s="2"/>
      <c r="C4" s="2"/>
      <c r="D4" s="2"/>
    </row>
    <row r="5" spans="1:4">
      <c r="A5" t="s">
        <v>631</v>
      </c>
      <c r="B5" s="3" t="s">
        <v>602</v>
      </c>
      <c r="C5" s="3" t="s">
        <v>603</v>
      </c>
      <c r="D5" s="3" t="s">
        <v>604</v>
      </c>
    </row>
    <row r="6" spans="1:4">
      <c r="A6">
        <v>1</v>
      </c>
      <c r="B6" s="3" t="s">
        <v>605</v>
      </c>
      <c r="C6" s="12" t="str">
        <f>"http://"&amp;Sheet2!A1&amp;":5150/getalltaskbar"</f>
        <v>http://192.168.1.213:5150/getalltaskbar</v>
      </c>
      <c r="D6" s="9">
        <v>0</v>
      </c>
    </row>
    <row r="7" spans="1:4">
      <c r="A7">
        <v>2</v>
      </c>
      <c r="B7" s="3" t="s">
        <v>607</v>
      </c>
      <c r="C7" s="13" t="str">
        <f>"http://"&amp;Sheet2!A1&amp;":5150/finshalltaskbar"</f>
        <v>http://192.168.1.213:5150/finshalltaskbar</v>
      </c>
      <c r="D7" s="9">
        <v>0</v>
      </c>
    </row>
    <row r="8" spans="1:4">
      <c r="A8">
        <v>3</v>
      </c>
      <c r="B8" s="3" t="s">
        <v>606</v>
      </c>
      <c r="C8" s="13" t="str">
        <f>"http://"&amp;Sheet2!A2&amp;":5805/getalltaskwork"</f>
        <v>http://192.168.1.213:5805/getalltaskwork</v>
      </c>
      <c r="D8" s="9">
        <v>0</v>
      </c>
    </row>
    <row r="9" spans="1:4">
      <c r="A9">
        <v>4</v>
      </c>
      <c r="B9" s="3" t="s">
        <v>608</v>
      </c>
      <c r="C9" s="14" t="str">
        <f>"http://"&amp;Sheet2!A2&amp;":5805/finshalltaskwork"</f>
        <v>http://192.168.1.213:5805/finshalltaskwork</v>
      </c>
      <c r="D9" s="9">
        <v>0</v>
      </c>
    </row>
    <row r="10" spans="1:4">
      <c r="A10">
        <v>5</v>
      </c>
      <c r="B10" s="3" t="s">
        <v>609</v>
      </c>
      <c r="C10" s="14" t="str">
        <f>"http://"&amp;Sheet2!A3&amp;":5700/getalltaskhome"</f>
        <v>http://192.168.1.213:5700/getalltaskhome</v>
      </c>
      <c r="D10" s="9">
        <v>0</v>
      </c>
    </row>
    <row r="11" spans="1:4">
      <c r="A11">
        <v>6</v>
      </c>
      <c r="B11" s="3" t="s">
        <v>610</v>
      </c>
      <c r="C11" s="14" t="str">
        <f>"http://"&amp;Sheet2!A3&amp;":5700/finshalltaskhome"</f>
        <v>http://192.168.1.213:5700/finshalltaskhome</v>
      </c>
      <c r="D11" s="9">
        <v>0</v>
      </c>
    </row>
    <row r="12" spans="1:4">
      <c r="A12">
        <v>7</v>
      </c>
      <c r="B12" s="3" t="s">
        <v>611</v>
      </c>
      <c r="C12" s="11" t="str">
        <f>Sheet2!A1</f>
        <v>192.168.1.213</v>
      </c>
      <c r="D12" s="9">
        <v>30000</v>
      </c>
    </row>
    <row r="13" spans="1:4">
      <c r="A13">
        <v>8</v>
      </c>
      <c r="B13" s="3" t="s">
        <v>612</v>
      </c>
      <c r="C13" s="14" t="str">
        <f>"http://"&amp;Sheet2!A1&amp;":5150/"</f>
        <v>http://192.168.1.213:5150/</v>
      </c>
      <c r="D13" s="9">
        <v>0</v>
      </c>
    </row>
    <row r="14" spans="1:4">
      <c r="A14">
        <v>9</v>
      </c>
      <c r="B14" s="3" t="s">
        <v>613</v>
      </c>
      <c r="C14" s="14" t="str">
        <f>"http://"&amp;Sheet2!A1&amp;":5150/login"</f>
        <v>http://192.168.1.213:5150/login</v>
      </c>
      <c r="D14" s="9">
        <v>0</v>
      </c>
    </row>
    <row r="15" spans="1:4">
      <c r="A15">
        <v>10</v>
      </c>
      <c r="B15" s="3" t="s">
        <v>614</v>
      </c>
      <c r="C15" s="14" t="str">
        <f>"http://"&amp;Sheet2!A1&amp;":5150/alist"</f>
        <v>http://192.168.1.213:5150/alist</v>
      </c>
      <c r="D15" s="9">
        <v>0</v>
      </c>
    </row>
    <row r="16" spans="1:4">
      <c r="A16">
        <v>11</v>
      </c>
      <c r="B16" s="3" t="s">
        <v>615</v>
      </c>
      <c r="C16" s="14" t="str">
        <f>"http://"&amp;Sheet2!A1&amp;":5150/user"</f>
        <v>http://192.168.1.213:5150/user</v>
      </c>
      <c r="D16" s="9">
        <v>0</v>
      </c>
    </row>
    <row r="17" spans="1:4">
      <c r="A17">
        <v>12</v>
      </c>
      <c r="B17" s="3" t="s">
        <v>616</v>
      </c>
      <c r="C17" s="14" t="str">
        <f>"http://"&amp;Sheet2!A2&amp;":5805/getCloth"</f>
        <v>http://192.168.1.213:5805/getCloth</v>
      </c>
      <c r="D17" s="9">
        <v>0</v>
      </c>
    </row>
    <row r="18" spans="1:4">
      <c r="A18">
        <v>13</v>
      </c>
      <c r="B18" s="3" t="s">
        <v>617</v>
      </c>
      <c r="C18" s="14" t="str">
        <f>"http://"&amp;Sheet2!A1&amp;":5150/getdiamondrank"</f>
        <v>http://192.168.1.213:5150/getdiamondrank</v>
      </c>
      <c r="D18" s="9">
        <v>0</v>
      </c>
    </row>
    <row r="19" spans="1:4">
      <c r="A19">
        <v>14</v>
      </c>
      <c r="B19" s="3" t="s">
        <v>618</v>
      </c>
      <c r="C19" s="14" t="str">
        <f>"http://"&amp;Sheet2!A1&amp;":5150/getcharmrank"</f>
        <v>http://192.168.1.213:5150/getcharmrank</v>
      </c>
      <c r="D19" s="9">
        <v>0</v>
      </c>
    </row>
    <row r="20" spans="1:4">
      <c r="A20">
        <v>15</v>
      </c>
      <c r="B20" s="3" t="s">
        <v>619</v>
      </c>
      <c r="C20" s="14" t="str">
        <f>"http://"&amp;Sheet2!A1&amp;":5150/getpresentrank"</f>
        <v>http://192.168.1.213:5150/getpresentrank</v>
      </c>
      <c r="D20" s="9">
        <v>0</v>
      </c>
    </row>
    <row r="21" spans="1:4">
      <c r="A21">
        <v>16</v>
      </c>
      <c r="B21" s="3" t="s">
        <v>620</v>
      </c>
      <c r="C21" s="14" t="str">
        <f>"http://"&amp;Sheet2!A1&amp;":5150/getrecvpresentrank"</f>
        <v>http://192.168.1.213:5150/getrecvpresentrank</v>
      </c>
      <c r="D21" s="9">
        <v>0</v>
      </c>
    </row>
    <row r="22" spans="1:4">
      <c r="A22">
        <v>17</v>
      </c>
      <c r="B22" s="3" t="s">
        <v>621</v>
      </c>
      <c r="C22" s="14" t="str">
        <f>"http://"&amp;Sheet2!A1&amp;":5150/ciHead"</f>
        <v>http://192.168.1.213:5150/ciHead</v>
      </c>
      <c r="D22" s="9">
        <v>0</v>
      </c>
    </row>
    <row r="23" spans="1:4">
      <c r="A23">
        <v>18</v>
      </c>
      <c r="B23" s="3" t="s">
        <v>622</v>
      </c>
      <c r="C23" s="14" t="str">
        <f>"http://"&amp;Sheet2!A1&amp;":5150/getHead"</f>
        <v>http://192.168.1.213:5150/getHead</v>
      </c>
      <c r="D23" s="9">
        <v>0</v>
      </c>
    </row>
    <row r="24" spans="1:4">
      <c r="A24">
        <v>19</v>
      </c>
      <c r="B24" s="3" t="s">
        <v>623</v>
      </c>
      <c r="C24" s="14" t="str">
        <f>"http://"&amp;Sheet2!A1&amp;":5150/changenickname"</f>
        <v>http://192.168.1.213:5150/changenickname</v>
      </c>
      <c r="D24" s="9">
        <v>0</v>
      </c>
    </row>
    <row r="25" spans="1:4">
      <c r="A25">
        <v>20</v>
      </c>
      <c r="B25" s="3" t="s">
        <v>624</v>
      </c>
      <c r="C25" s="14" t="str">
        <f>"http://"&amp;Sheet2!A1&amp;":5150/changecontent"</f>
        <v>http://192.168.1.213:5150/changecontent</v>
      </c>
      <c r="D25" s="9">
        <v>0</v>
      </c>
    </row>
    <row r="26" spans="1:4">
      <c r="A26">
        <v>21</v>
      </c>
      <c r="B26" s="3" t="s">
        <v>625</v>
      </c>
      <c r="C26" s="14" t="str">
        <f>"http://"&amp;Sheet2!A1&amp;":5805/getCloth"</f>
        <v>http://192.168.1.213:5805/getCloth</v>
      </c>
      <c r="D26" s="9">
        <v>0</v>
      </c>
    </row>
    <row r="27" spans="1:4">
      <c r="A27">
        <v>22</v>
      </c>
      <c r="B27" s="3" t="s">
        <v>626</v>
      </c>
      <c r="C27" s="11" t="str">
        <f>Sheet2!A3</f>
        <v>192.168.1.213</v>
      </c>
      <c r="D27" s="9">
        <v>23010</v>
      </c>
    </row>
    <row r="28" spans="1:4">
      <c r="A28">
        <v>23</v>
      </c>
      <c r="B28" s="3" t="s">
        <v>627</v>
      </c>
      <c r="C28" s="11" t="str">
        <f>Sheet2!A2</f>
        <v>192.168.1.213</v>
      </c>
      <c r="D28" s="9">
        <v>13011</v>
      </c>
    </row>
    <row r="29" spans="1:4">
      <c r="A29">
        <v>24</v>
      </c>
      <c r="B29" s="3" t="s">
        <v>632</v>
      </c>
      <c r="C29" s="14" t="str">
        <f>"http://"&amp;Sheet2!A1&amp;":5150/getEmails"</f>
        <v>http://192.168.1.213:5150/getEmails</v>
      </c>
      <c r="D29" s="9">
        <v>0</v>
      </c>
    </row>
    <row r="30" spans="1:4">
      <c r="A30">
        <v>25</v>
      </c>
      <c r="B30" s="3" t="s">
        <v>633</v>
      </c>
      <c r="C30" s="14" t="str">
        <f>"http://"&amp;Sheet2!A1&amp;":5150/getEmailDetail"</f>
        <v>http://192.168.1.213:5150/getEmailDetail</v>
      </c>
      <c r="D30" s="9">
        <v>0</v>
      </c>
    </row>
    <row r="31" spans="1:4">
      <c r="A31">
        <v>26</v>
      </c>
      <c r="B31" s="3" t="s">
        <v>634</v>
      </c>
      <c r="C31" s="14" t="str">
        <f>"http://"&amp;Sheet2!A1&amp;":5150/getEmailPrize"</f>
        <v>http://192.168.1.213:5150/getEmailPrize</v>
      </c>
      <c r="D31" s="9">
        <v>0</v>
      </c>
    </row>
    <row r="32" spans="1:4">
      <c r="A32">
        <v>27</v>
      </c>
      <c r="B32" s="3" t="s">
        <v>635</v>
      </c>
      <c r="C32" s="14" t="str">
        <f>"http://"&amp;Sheet2!A1&amp;":5150/delEmail"</f>
        <v>http://192.168.1.213:5150/delEmail</v>
      </c>
      <c r="D32" s="9">
        <v>0</v>
      </c>
    </row>
    <row r="33" spans="1:4">
      <c r="A33">
        <v>28</v>
      </c>
      <c r="B33" t="s">
        <v>636</v>
      </c>
      <c r="C33" s="14" t="str">
        <f>"http://"&amp;Sheet2!A1&amp;":5150/createRole"</f>
        <v>http://192.168.1.213:5150/createRole</v>
      </c>
      <c r="D33" s="9">
        <v>0</v>
      </c>
    </row>
    <row r="34" spans="1:4">
      <c r="A34">
        <v>29</v>
      </c>
      <c r="B34" t="s">
        <v>637</v>
      </c>
      <c r="C34" s="14" t="str">
        <f>"http://"&amp;Sheet2!A1&amp;":5150/rname"</f>
        <v>http://192.168.1.213:5150/rname</v>
      </c>
      <c r="D34" s="9"/>
    </row>
    <row r="35" spans="1:4">
      <c r="A35">
        <v>30</v>
      </c>
      <c r="B35" t="s">
        <v>638</v>
      </c>
      <c r="C35" s="14" t="str">
        <f>"http://"&amp;Sheet2!A1&amp;":5150/getinfo"</f>
        <v>http://192.168.1.213:5150/getinfo</v>
      </c>
      <c r="D35" s="9"/>
    </row>
    <row r="36" spans="1:4">
      <c r="A36">
        <v>31</v>
      </c>
      <c r="B36" t="s">
        <v>639</v>
      </c>
      <c r="C36" s="14" t="str">
        <f>"http://"&amp;Sheet2!A1&amp;":5150/buychatvip"</f>
        <v>http://192.168.1.213:5150/buychatvip</v>
      </c>
      <c r="D36" s="9"/>
    </row>
    <row r="37" spans="1:4">
      <c r="A37">
        <v>32</v>
      </c>
      <c r="B37" t="s">
        <v>640</v>
      </c>
      <c r="C37" s="16" t="str">
        <f>"http://"&amp;Sheet2!A1&amp;":5150/morder"</f>
        <v>http://192.168.1.213:5150/morder</v>
      </c>
      <c r="D37" s="9"/>
    </row>
    <row r="38" spans="1:4">
      <c r="A38">
        <v>33</v>
      </c>
      <c r="B38" t="s">
        <v>641</v>
      </c>
      <c r="C38" s="14" t="str">
        <f>"http://"&amp;Sheet2!A1&amp;":5150/recharge"</f>
        <v>http://192.168.1.213:5150/recharge</v>
      </c>
      <c r="D38" s="9"/>
    </row>
    <row r="39" spans="1:4">
      <c r="A39">
        <v>34</v>
      </c>
      <c r="B39" t="s">
        <v>642</v>
      </c>
      <c r="C39" s="14" t="str">
        <f>"http://"&amp;Sheet2!A1&amp;":5150/exchangescore"</f>
        <v>http://192.168.1.213:5150/exchangescore</v>
      </c>
      <c r="D39" s="9"/>
    </row>
    <row r="40" spans="1:4">
      <c r="A40">
        <v>35</v>
      </c>
      <c r="B40" t="s">
        <v>643</v>
      </c>
      <c r="C40" s="14" t="str">
        <f>"http://"&amp;Sheet2!A1&amp;":5150/anchorThum"</f>
        <v>http://192.168.1.213:5150/anchorThum</v>
      </c>
      <c r="D40" s="9"/>
    </row>
    <row r="41" spans="1:4">
      <c r="A41">
        <v>36</v>
      </c>
      <c r="B41" t="s">
        <v>644</v>
      </c>
      <c r="C41" s="14" t="str">
        <f>"http://"&amp;Sheet2!A1&amp;":5150/anchorThumList"</f>
        <v>http://192.168.1.213:5150/anchorThumList</v>
      </c>
      <c r="D41" s="9"/>
    </row>
    <row r="42" spans="1:4">
      <c r="A42">
        <v>37</v>
      </c>
      <c r="B42" t="s">
        <v>645</v>
      </c>
      <c r="C42" s="14" t="str">
        <f>"http://"&amp;Sheet2!A1&amp;":5150/getuserinfo"</f>
        <v>http://192.168.1.213:5150/getuserinfo</v>
      </c>
      <c r="D42" s="9"/>
    </row>
    <row r="43" spans="1:4">
      <c r="A43">
        <v>38</v>
      </c>
      <c r="B43" t="s">
        <v>646</v>
      </c>
      <c r="C43" s="14" t="str">
        <f>"http://"&amp;Sheet2!A1&amp;":5150/changecontent"</f>
        <v>http://192.168.1.213:5150/changecontent</v>
      </c>
      <c r="D43" s="9"/>
    </row>
    <row r="44" spans="1:4">
      <c r="A44">
        <v>39</v>
      </c>
      <c r="B44" t="s">
        <v>647</v>
      </c>
      <c r="C44" s="14" t="str">
        <f>"http://"&amp;Sheet2!A1&amp;":5150/changephone"</f>
        <v>http://192.168.1.213:5150/changephone</v>
      </c>
      <c r="D44" s="9"/>
    </row>
    <row r="45" spans="1:4">
      <c r="A45">
        <v>40</v>
      </c>
      <c r="B45" t="s">
        <v>648</v>
      </c>
      <c r="C45" s="14" t="str">
        <f>"http://"&amp;Sheet2!A1&amp;":5150/changeemail"</f>
        <v>http://192.168.1.213:5150/changeemail</v>
      </c>
      <c r="D45" s="9"/>
    </row>
    <row r="46" spans="1:4">
      <c r="A46">
        <v>41</v>
      </c>
      <c r="B46" t="s">
        <v>649</v>
      </c>
      <c r="C46" s="14" t="str">
        <f>"http://"&amp;Sheet2!A1&amp;":5150/register"</f>
        <v>http://192.168.1.213:5150/register</v>
      </c>
      <c r="D46" s="9"/>
    </row>
    <row r="47" spans="1:4">
      <c r="A47">
        <v>42</v>
      </c>
      <c r="B47" t="s">
        <v>650</v>
      </c>
      <c r="C47" s="14" t="str">
        <f>"http://"&amp;Sheet2!A1&amp;":5150/modfast"</f>
        <v>http://192.168.1.213:5150/modfast</v>
      </c>
      <c r="D47" s="9"/>
    </row>
    <row r="48" spans="1:4">
      <c r="A48">
        <v>43</v>
      </c>
      <c r="B48" t="s">
        <v>651</v>
      </c>
      <c r="C48" s="14" t="str">
        <f>"http://"&amp;Sheet2!A1&amp;":5150/refereeinfo"</f>
        <v>http://192.168.1.213:5150/refereeinfo</v>
      </c>
      <c r="D48" s="9"/>
    </row>
    <row r="49" spans="1:4">
      <c r="A49">
        <v>44</v>
      </c>
      <c r="B49" t="s">
        <v>652</v>
      </c>
      <c r="C49" s="14" t="str">
        <f>"http://"&amp;Sheet2!A1&amp;":5150/exchangerefer"</f>
        <v>http://192.168.1.213:5150/exchangerefer</v>
      </c>
      <c r="D49" s="9"/>
    </row>
    <row r="50" spans="1:4">
      <c r="A50">
        <v>45</v>
      </c>
      <c r="B50" t="s">
        <v>653</v>
      </c>
      <c r="C50" s="14" t="str">
        <f>"http://"&amp;Sheet2!A1&amp;":5150/changepwd"</f>
        <v>http://192.168.1.213:5150/changepwd</v>
      </c>
      <c r="D50" s="9"/>
    </row>
    <row r="51" spans="1:4">
      <c r="A51">
        <v>46</v>
      </c>
      <c r="B51" t="s">
        <v>654</v>
      </c>
      <c r="C51" s="14" t="str">
        <f>"http://"&amp;Sheet2!A1&amp;":5150/verifyphone"</f>
        <v>http://192.168.1.213:5150/verifyphone</v>
      </c>
      <c r="D51" s="9"/>
    </row>
    <row r="52" spans="1:4">
      <c r="A52">
        <v>47</v>
      </c>
      <c r="B52" t="s">
        <v>655</v>
      </c>
      <c r="C52" s="14" t="str">
        <f>"http://"&amp;Sheet2!A1&amp;":5150/verifymail"</f>
        <v>http://192.168.1.213:5150/verifymail</v>
      </c>
      <c r="D52" s="9"/>
    </row>
    <row r="53" spans="1:4">
      <c r="A53">
        <v>48</v>
      </c>
      <c r="B53" t="s">
        <v>656</v>
      </c>
      <c r="C53" s="14" t="str">
        <f>"http://"&amp;Sheet2!A1&amp;":5150/forgetpwd"</f>
        <v>http://192.168.1.213:5150/forgetpwd</v>
      </c>
      <c r="D53" s="9"/>
    </row>
    <row r="54" spans="1:4">
      <c r="A54">
        <v>49</v>
      </c>
      <c r="B54" t="s">
        <v>657</v>
      </c>
      <c r="C54" s="14" t="str">
        <f>"http://"&amp;Sheet2!A1&amp;":5150/verifypwd"</f>
        <v>http://192.168.1.213:5150/verifypwd</v>
      </c>
      <c r="D54" s="9"/>
    </row>
    <row r="55" spans="1:4">
      <c r="A55">
        <v>50</v>
      </c>
      <c r="B55" t="s">
        <v>658</v>
      </c>
      <c r="C55" s="14" t="str">
        <f>"http://"&amp;Sheet2!A1&amp;":5150/mvpwd"</f>
        <v>http://192.168.1.213:5150/mvpwd</v>
      </c>
      <c r="D55" s="9"/>
    </row>
    <row r="56" spans="1:4">
      <c r="A56">
        <v>51</v>
      </c>
      <c r="B56" t="s">
        <v>659</v>
      </c>
      <c r="C56" s="14" t="str">
        <f>"http://"&amp;Sheet2!A1&amp;":5700/ciHead"</f>
        <v>http://192.168.1.213:5700/ciHead</v>
      </c>
      <c r="D56" s="9"/>
    </row>
    <row r="57" spans="1:4">
      <c r="A57">
        <v>52</v>
      </c>
      <c r="B57" t="s">
        <v>660</v>
      </c>
      <c r="C57" s="14" t="str">
        <f>"http://"&amp;Sheet2!A1&amp;":5700/getHead"</f>
        <v>http://192.168.1.213:5700/getHead</v>
      </c>
      <c r="D57" s="9"/>
    </row>
    <row r="58" spans="1:4" ht="15">
      <c r="A58">
        <v>53</v>
      </c>
      <c r="B58" s="15" t="s">
        <v>661</v>
      </c>
      <c r="C58" s="16" t="str">
        <f>"http://"&amp;Sheet2!A1&amp;":5150/getuserid"</f>
        <v>http://192.168.1.213:5150/getuserid</v>
      </c>
      <c r="D58" s="9"/>
    </row>
    <row r="59" spans="1:4">
      <c r="A59">
        <v>54</v>
      </c>
      <c r="B59" t="s">
        <v>662</v>
      </c>
      <c r="C59" s="16" t="str">
        <f>"http://"&amp;Sheet2!A1&amp;":5991/livehost"</f>
        <v>http://192.168.1.213:5991/livehost</v>
      </c>
      <c r="D59" s="9"/>
    </row>
    <row r="60" spans="1:4">
      <c r="A60">
        <v>55</v>
      </c>
      <c r="B60" t="s">
        <v>663</v>
      </c>
      <c r="C60" t="str">
        <f>"http://"&amp;Sheet2!A1&amp;":5150/bindsendcode"</f>
        <v>http://192.168.1.213:5150/bindsendcode</v>
      </c>
      <c r="D60" s="9"/>
    </row>
    <row r="61" spans="1:4">
      <c r="A61">
        <v>56</v>
      </c>
      <c r="B61" t="s">
        <v>664</v>
      </c>
      <c r="C61" t="str">
        <f>"http://"&amp;Sheet2!A1&amp;":5150/bindcash"</f>
        <v>http://192.168.1.213:5150/bindcash</v>
      </c>
      <c r="D61" s="9"/>
    </row>
    <row r="62" spans="1:4">
      <c r="A62">
        <v>57</v>
      </c>
      <c r="B62" t="s">
        <v>665</v>
      </c>
      <c r="C62" t="str">
        <f>"http://"&amp;Sheet2!A1&amp;":5150/getbindinfo"</f>
        <v>http://192.168.1.213:5150/getbindinfo</v>
      </c>
      <c r="D62" s="9"/>
    </row>
    <row r="63" spans="1:4">
      <c r="A63">
        <v>58</v>
      </c>
      <c r="B63" t="s">
        <v>666</v>
      </c>
      <c r="C63" t="str">
        <f>"http://"&amp;Sheet2!A1&amp;":5150/exchangecash"</f>
        <v>http://192.168.1.213:5150/exchangecash</v>
      </c>
    </row>
    <row r="64" spans="1:4">
      <c r="A64">
        <v>59</v>
      </c>
      <c r="B64" t="s">
        <v>667</v>
      </c>
      <c r="C64" t="str">
        <f>"http://"&amp;Sheet2!A1&amp;":5150/getcashinfo"</f>
        <v>http://192.168.1.213:5150/getcashinfo</v>
      </c>
    </row>
    <row r="65" spans="1:3">
      <c r="A65">
        <v>60</v>
      </c>
      <c r="B65" t="s">
        <v>668</v>
      </c>
      <c r="C65" s="16" t="str">
        <f>"http://"&amp;Sheet2!A1&amp;":5150/getnickname"</f>
        <v>http://192.168.1.213:5150/getnickname</v>
      </c>
    </row>
    <row r="66" spans="1:3">
      <c r="A66">
        <v>61</v>
      </c>
      <c r="B66" t="s">
        <v>669</v>
      </c>
      <c r="C66" s="16" t="str">
        <f>"http://"&amp;Sheet2!A1&amp;":5150/getreferee"</f>
        <v>http://192.168.1.213:5150/getreferee</v>
      </c>
    </row>
    <row r="67" spans="1:3">
      <c r="A67">
        <v>62</v>
      </c>
      <c r="B67" s="3" t="s">
        <v>670</v>
      </c>
      <c r="C67" s="12" t="str">
        <f>"http://"&amp;Sheet2!A1&amp;":5150/getalltaskctbar"</f>
        <v>http://192.168.1.213:5150/getalltaskctbar</v>
      </c>
    </row>
    <row r="68" spans="1:3">
      <c r="A68">
        <v>63</v>
      </c>
      <c r="B68" s="3" t="s">
        <v>671</v>
      </c>
      <c r="C68" s="13" t="str">
        <f>"http://"&amp;Sheet2!A1&amp;":5805/getalltaskctwork"</f>
        <v>http://192.168.1.213:5805/getalltaskctwork</v>
      </c>
    </row>
    <row r="69" spans="1:3">
      <c r="A69">
        <v>64</v>
      </c>
      <c r="B69" s="3" t="s">
        <v>672</v>
      </c>
      <c r="C69" s="16" t="str">
        <f>"http://"&amp;Sheet2!A1&amp;":5700/getalltaskcthome"</f>
        <v>http://192.168.1.213:5700/getalltaskcthome</v>
      </c>
    </row>
  </sheetData>
  <phoneticPr fontId="2" type="noConversion"/>
  <hyperlinks>
    <hyperlink ref="C7" r:id="rId1" display="http://192.168.1.28:5150/finshalltask"/>
    <hyperlink ref="C9" r:id="rId2" display="http://192.168.1.28:5805/finshalltask"/>
    <hyperlink ref="C10" r:id="rId3" display="http://180.168.81.142:50502/getalltask"/>
    <hyperlink ref="C11" r:id="rId4" display="http://192.168.1.28:5700/finshalltask"/>
    <hyperlink ref="C13" r:id="rId5" display="http://180.168.81.142:50501/"/>
    <hyperlink ref="C15" r:id="rId6" display="http://180.168.81.142:50501/alist"/>
    <hyperlink ref="C16" r:id="rId7" display="http://180.168.81.142:50501/user"/>
    <hyperlink ref="C17" r:id="rId8" display="http://180.168.81.142:50503/getCloth"/>
    <hyperlink ref="C18" r:id="rId9" display="http://180.168.81.142:50501/getdiamondrank"/>
    <hyperlink ref="C14" r:id="rId10" display="http://180.168.81.142:50501/login"/>
    <hyperlink ref="C19" r:id="rId11" display="http://180.168.81.142:50501/getcharmrank"/>
    <hyperlink ref="C20" r:id="rId12" display="http://180.168.81.142:50501/getpresentrank"/>
    <hyperlink ref="C21" r:id="rId13" display="http://180.168.81.142:50501/getrecvpresentrank"/>
    <hyperlink ref="C22" r:id="rId14" display="http://180.168.81.142:50501/ciHead"/>
    <hyperlink ref="C23" r:id="rId15" display="http://180.168.81.142:50501/getHead"/>
    <hyperlink ref="C24" r:id="rId16" display="http://180.168.81.142:50501/changenickname"/>
    <hyperlink ref="C25" r:id="rId17" display="http://180.168.81.142:50501/changecontent"/>
    <hyperlink ref="C26" r:id="rId18" display="http://180.168.81.142:50503/getCloth"/>
    <hyperlink ref="C29" r:id="rId19" display="http://180.168.81.142:50501/getEmails"/>
    <hyperlink ref="C30" r:id="rId20" display="http://180.168.81.142:50501/getEmailDetail"/>
    <hyperlink ref="C31" r:id="rId21" display="http://180.168.81.142:50501/getEmailPrize"/>
    <hyperlink ref="C32" r:id="rId22" display="http://180.168.81.142:50501/delEmail"/>
    <hyperlink ref="C6" r:id="rId23" display="http://180.168.81.142:50501/getalltask"/>
    <hyperlink ref="C33" r:id="rId24" display="http://192.168.1.28:5150/createRole"/>
    <hyperlink ref="C34" r:id="rId25" display="http://192.168.1.28:5150/rname"/>
    <hyperlink ref="C35" r:id="rId26" display="http://192.168.1.28:5150/getinfo"/>
    <hyperlink ref="C36" r:id="rId27" display="http://192.168.1.28:5150/buychatvip"/>
    <hyperlink ref="C37" r:id="rId28" display="http://192.168.1.28:5150/morder"/>
    <hyperlink ref="C38" r:id="rId29" display="http://192.168.1.28:5150/recharge"/>
    <hyperlink ref="C39" r:id="rId30" display="http://192.168.1.28:5150/exchangescore"/>
    <hyperlink ref="C40" r:id="rId31" display="http://192.168.1.28:5150/anchorThum"/>
    <hyperlink ref="C41" r:id="rId32" display="http://192.168.1.28:5150/anchorThumList"/>
    <hyperlink ref="C42" r:id="rId33" display="http://192.168.1.28:5150/getuserinfo"/>
    <hyperlink ref="C43" r:id="rId34" display="http://192.168.1.28:5150/changecontent"/>
    <hyperlink ref="C44" r:id="rId35" display="http://192.168.1.28:5150/changephone"/>
    <hyperlink ref="C45" r:id="rId36" display="http://192.168.1.28:5150/changeemail"/>
    <hyperlink ref="C46" r:id="rId37" display="http://192.168.1.28:5150/register"/>
    <hyperlink ref="C47" r:id="rId38" display="http://192.168.1.28:5150/modfast"/>
    <hyperlink ref="C48" r:id="rId39" display="http://192.168.1.28:5150/refereeinfo"/>
    <hyperlink ref="C49" r:id="rId40" display="http://192.168.1.28:5150/exchangerefer"/>
    <hyperlink ref="C50" r:id="rId41" display="http://192.168.1.28:5150/changepwd"/>
    <hyperlink ref="C53" r:id="rId42" display="http://192.168.1.28:5150/forgetpwd"/>
    <hyperlink ref="C54" r:id="rId43" display="http://192.168.1.28:5150/verifypwd"/>
    <hyperlink ref="C52" r:id="rId44" display="http://192.168.1.28:5150/verifymail"/>
    <hyperlink ref="C51" r:id="rId45" display="http://192.168.1.28:5150/verifyphone"/>
    <hyperlink ref="C55" r:id="rId46" display="http://192.168.1.28:5150/mvpwd"/>
    <hyperlink ref="C56" r:id="rId47" display="http://192.168.1.28:5700/ciHead"/>
    <hyperlink ref="C57" r:id="rId48" display="http://192.168.1.28:5700/getHead"/>
    <hyperlink ref="C58" r:id="rId49" display="http://192.168.1.28:5150/getuserid"/>
    <hyperlink ref="C59" r:id="rId50" display="http://&amp;Sheet2!A1&amp;:5991/livehost"/>
    <hyperlink ref="C65" r:id="rId51" display="http://&amp;Sheet2!A1&amp;:5150/getnickname"/>
    <hyperlink ref="C66" r:id="rId52" display="http://192.168.1.28:5150/getreferee"/>
    <hyperlink ref="C68" r:id="rId53" display="http://192.168.1.28:5805/getalltask"/>
    <hyperlink ref="C69" r:id="rId54" display="http://180.168.81.142:50502/getalltask"/>
    <hyperlink ref="C8" r:id="rId55" display="http://192.168.1.28:5805/getalltask"/>
  </hyperlinks>
  <pageMargins left="0.69930555555555596" right="0.69930555555555596" top="0.75" bottom="0.75" header="0.3" footer="0.3"/>
  <pageSetup paperSize="9" orientation="portrait" horizontalDpi="200" verticalDpi="300" r:id="rId56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50"/>
  <sheetViews>
    <sheetView workbookViewId="0">
      <selection activeCell="B1" sqref="B1:B199"/>
    </sheetView>
  </sheetViews>
  <sheetFormatPr defaultRowHeight="13.5"/>
  <cols>
    <col min="1" max="1" width="10.25" style="5" bestFit="1" customWidth="1"/>
    <col min="2" max="2" width="15.125" style="5" bestFit="1" customWidth="1"/>
    <col min="3" max="7" width="9" style="5"/>
    <col min="8" max="8" width="10.125" style="5" customWidth="1"/>
    <col min="9" max="9" width="12.125" style="5" bestFit="1" customWidth="1"/>
    <col min="10" max="16384" width="9" style="5"/>
  </cols>
  <sheetData>
    <row r="1" spans="1:5" ht="27">
      <c r="A1" s="10" t="s">
        <v>576</v>
      </c>
      <c r="B1" s="5" t="str">
        <f>LEFT(A1,4)</f>
        <v xml:space="preserve">	戈德水</v>
      </c>
      <c r="E1" s="5" t="s">
        <v>595</v>
      </c>
    </row>
    <row r="2" spans="1:5">
      <c r="A2" s="5" t="s">
        <v>1</v>
      </c>
      <c r="B2" s="5" t="str">
        <f t="shared" ref="B2:B65" si="0">LEFT(A2,4)</f>
        <v xml:space="preserve">	司空楷</v>
      </c>
      <c r="E2" s="5" t="s">
        <v>577</v>
      </c>
    </row>
    <row r="3" spans="1:5">
      <c r="A3" s="5" t="s">
        <v>3</v>
      </c>
      <c r="B3" s="5" t="str">
        <f t="shared" si="0"/>
        <v xml:space="preserve">	羊舌俊</v>
      </c>
      <c r="E3" s="5" t="s">
        <v>578</v>
      </c>
    </row>
    <row r="4" spans="1:5">
      <c r="A4" s="5" t="s">
        <v>5</v>
      </c>
      <c r="B4" s="5" t="str">
        <f t="shared" si="0"/>
        <v xml:space="preserve">	倪炫明</v>
      </c>
      <c r="E4" s="5" t="s">
        <v>579</v>
      </c>
    </row>
    <row r="5" spans="1:5">
      <c r="A5" s="5" t="s">
        <v>7</v>
      </c>
      <c r="B5" s="5" t="str">
        <f t="shared" si="0"/>
        <v xml:space="preserve">	丁炎彬</v>
      </c>
      <c r="E5" s="5" t="s">
        <v>580</v>
      </c>
    </row>
    <row r="6" spans="1:5">
      <c r="A6" s="5" t="s">
        <v>9</v>
      </c>
      <c r="B6" s="5" t="str">
        <f t="shared" si="0"/>
        <v xml:space="preserve">	麻阳旭</v>
      </c>
      <c r="E6" s="5" t="s">
        <v>581</v>
      </c>
    </row>
    <row r="7" spans="1:5">
      <c r="A7" s="5" t="s">
        <v>11</v>
      </c>
      <c r="B7" s="5" t="str">
        <f t="shared" si="0"/>
        <v xml:space="preserve">	赫连翰</v>
      </c>
      <c r="E7" s="5" t="s">
        <v>582</v>
      </c>
    </row>
    <row r="8" spans="1:5">
      <c r="A8" s="5" t="s">
        <v>13</v>
      </c>
      <c r="B8" s="5" t="str">
        <f t="shared" si="0"/>
        <v xml:space="preserve">	喻星剑</v>
      </c>
      <c r="E8" s="5" t="s">
        <v>583</v>
      </c>
    </row>
    <row r="9" spans="1:5">
      <c r="A9" s="5" t="s">
        <v>15</v>
      </c>
      <c r="B9" s="5" t="str">
        <f t="shared" si="0"/>
        <v xml:space="preserve">	闻兴怀</v>
      </c>
      <c r="E9" s="5" t="s">
        <v>584</v>
      </c>
    </row>
    <row r="10" spans="1:5">
      <c r="A10" s="5" t="s">
        <v>17</v>
      </c>
      <c r="B10" s="5" t="str">
        <f t="shared" si="0"/>
        <v xml:space="preserve">	宰父向</v>
      </c>
      <c r="E10" s="5" t="s">
        <v>585</v>
      </c>
    </row>
    <row r="11" spans="1:5">
      <c r="A11" s="5" t="s">
        <v>19</v>
      </c>
      <c r="B11" s="5" t="str">
        <f t="shared" si="0"/>
        <v xml:space="preserve">	辛承教</v>
      </c>
      <c r="E11" s="5" t="s">
        <v>586</v>
      </c>
    </row>
    <row r="12" spans="1:5">
      <c r="A12" s="5" t="s">
        <v>21</v>
      </c>
      <c r="B12" s="5" t="str">
        <f t="shared" si="0"/>
        <v xml:space="preserve">	岑睿慈</v>
      </c>
      <c r="E12" s="5" t="s">
        <v>587</v>
      </c>
    </row>
    <row r="13" spans="1:5">
      <c r="A13" s="5" t="s">
        <v>23</v>
      </c>
      <c r="B13" s="5" t="str">
        <f t="shared" si="0"/>
        <v xml:space="preserve">	马文华</v>
      </c>
      <c r="E13" s="5" t="s">
        <v>588</v>
      </c>
    </row>
    <row r="14" spans="1:5">
      <c r="A14" s="5" t="s">
        <v>25</v>
      </c>
      <c r="B14" s="5" t="str">
        <f t="shared" si="0"/>
        <v xml:space="preserve">	蓬阳舒</v>
      </c>
      <c r="E14" s="5" t="s">
        <v>589</v>
      </c>
    </row>
    <row r="15" spans="1:5">
      <c r="A15" s="5" t="s">
        <v>27</v>
      </c>
      <c r="B15" s="5" t="str">
        <f t="shared" si="0"/>
        <v xml:space="preserve">	詹鹏海</v>
      </c>
      <c r="E15" s="5" t="s">
        <v>590</v>
      </c>
    </row>
    <row r="16" spans="1:5">
      <c r="A16" s="5" t="s">
        <v>29</v>
      </c>
      <c r="B16" s="5" t="str">
        <f t="shared" si="0"/>
        <v xml:space="preserve">	余鸿飞</v>
      </c>
      <c r="E16" s="5" t="s">
        <v>591</v>
      </c>
    </row>
    <row r="17" spans="1:5">
      <c r="A17" s="5" t="s">
        <v>31</v>
      </c>
      <c r="B17" s="5" t="str">
        <f t="shared" si="0"/>
        <v xml:space="preserve">	殴英睿</v>
      </c>
      <c r="E17" s="5" t="s">
        <v>592</v>
      </c>
    </row>
    <row r="18" spans="1:5">
      <c r="A18" s="5" t="s">
        <v>33</v>
      </c>
      <c r="B18" s="5" t="str">
        <f t="shared" si="0"/>
        <v xml:space="preserve">	芮鹏翼</v>
      </c>
      <c r="E18" s="5" t="s">
        <v>593</v>
      </c>
    </row>
    <row r="19" spans="1:5">
      <c r="A19" s="5" t="s">
        <v>35</v>
      </c>
      <c r="B19" s="5" t="str">
        <f t="shared" si="0"/>
        <v xml:space="preserve">	钟成益</v>
      </c>
      <c r="E19" s="5" t="s">
        <v>594</v>
      </c>
    </row>
    <row r="20" spans="1:5">
      <c r="A20" s="5" t="s">
        <v>37</v>
      </c>
      <c r="B20" s="5" t="str">
        <f t="shared" si="0"/>
        <v xml:space="preserve">	党嘉熙</v>
      </c>
    </row>
    <row r="21" spans="1:5">
      <c r="A21" s="5" t="s">
        <v>39</v>
      </c>
      <c r="B21" s="5" t="str">
        <f t="shared" si="0"/>
        <v xml:space="preserve">	扶康裕</v>
      </c>
    </row>
    <row r="22" spans="1:5">
      <c r="A22" s="5" t="s">
        <v>41</v>
      </c>
      <c r="B22" s="5" t="str">
        <f t="shared" si="0"/>
        <v xml:space="preserve">	鲍阳伯</v>
      </c>
    </row>
    <row r="23" spans="1:5">
      <c r="A23" s="5" t="s">
        <v>43</v>
      </c>
      <c r="B23" s="5" t="str">
        <f t="shared" si="0"/>
        <v xml:space="preserve">	公德寿</v>
      </c>
    </row>
    <row r="24" spans="1:5">
      <c r="A24" s="5" t="s">
        <v>45</v>
      </c>
      <c r="B24" s="5" t="str">
        <f t="shared" si="0"/>
        <v xml:space="preserve">	邵天睿</v>
      </c>
    </row>
    <row r="25" spans="1:5">
      <c r="A25" s="5" t="s">
        <v>47</v>
      </c>
      <c r="B25" s="5" t="str">
        <f t="shared" si="0"/>
        <v xml:space="preserve">	文乐贤</v>
      </c>
    </row>
    <row r="26" spans="1:5">
      <c r="A26" s="5" t="s">
        <v>49</v>
      </c>
      <c r="B26" s="5" t="str">
        <f t="shared" si="0"/>
        <v xml:space="preserve">	裴凯泽</v>
      </c>
    </row>
    <row r="27" spans="1:5">
      <c r="A27" s="5" t="s">
        <v>51</v>
      </c>
      <c r="B27" s="5" t="str">
        <f t="shared" si="0"/>
        <v xml:space="preserve">	景高爽</v>
      </c>
    </row>
    <row r="28" spans="1:5">
      <c r="A28" s="5" t="s">
        <v>53</v>
      </c>
      <c r="B28" s="5" t="str">
        <f t="shared" si="0"/>
        <v xml:space="preserve">	瞿茂勋</v>
      </c>
    </row>
    <row r="29" spans="1:5">
      <c r="A29" s="5" t="s">
        <v>55</v>
      </c>
      <c r="B29" s="5" t="str">
        <f t="shared" si="0"/>
        <v xml:space="preserve">	苍德厚</v>
      </c>
    </row>
    <row r="30" spans="1:5">
      <c r="A30" s="5" t="s">
        <v>57</v>
      </c>
      <c r="B30" s="5" t="str">
        <f t="shared" si="0"/>
        <v xml:space="preserve">	燕敏达</v>
      </c>
    </row>
    <row r="31" spans="1:5">
      <c r="A31" s="5" t="s">
        <v>59</v>
      </c>
      <c r="B31" s="5" t="str">
        <f t="shared" si="0"/>
        <v xml:space="preserve">	谷智勇</v>
      </c>
    </row>
    <row r="32" spans="1:5">
      <c r="A32" s="5" t="s">
        <v>61</v>
      </c>
      <c r="B32" s="5" t="str">
        <f t="shared" si="0"/>
        <v xml:space="preserve">	璩鸿涛</v>
      </c>
    </row>
    <row r="33" spans="1:2">
      <c r="A33" s="5" t="s">
        <v>63</v>
      </c>
      <c r="B33" s="5" t="str">
        <f t="shared" si="0"/>
        <v xml:space="preserve">	仲星驰</v>
      </c>
    </row>
    <row r="34" spans="1:2">
      <c r="A34" s="5" t="s">
        <v>65</v>
      </c>
      <c r="B34" s="5" t="str">
        <f t="shared" si="0"/>
        <v xml:space="preserve">	郑宏儒</v>
      </c>
    </row>
    <row r="35" spans="1:2">
      <c r="A35" s="5" t="s">
        <v>67</v>
      </c>
      <c r="B35" s="5" t="str">
        <f t="shared" si="0"/>
        <v xml:space="preserve">	寇英飙</v>
      </c>
    </row>
    <row r="36" spans="1:2">
      <c r="A36" s="5" t="s">
        <v>69</v>
      </c>
      <c r="B36" s="5" t="str">
        <f t="shared" si="0"/>
        <v xml:space="preserve">	年爱景</v>
      </c>
    </row>
    <row r="37" spans="1:2">
      <c r="A37" s="5" t="s">
        <v>71</v>
      </c>
      <c r="B37" s="5" t="str">
        <f t="shared" si="0"/>
        <v xml:space="preserve">	范开朗</v>
      </c>
    </row>
    <row r="38" spans="1:2">
      <c r="A38" s="5" t="s">
        <v>73</v>
      </c>
      <c r="B38" s="5" t="str">
        <f t="shared" si="0"/>
        <v xml:space="preserve">	宓昊穹</v>
      </c>
    </row>
    <row r="39" spans="1:2">
      <c r="A39" s="5" t="s">
        <v>75</v>
      </c>
      <c r="B39" s="5" t="str">
        <f>LEFT(A39,4)</f>
        <v xml:space="preserve">	戚乐童</v>
      </c>
    </row>
    <row r="40" spans="1:2">
      <c r="A40" s="5" t="s">
        <v>77</v>
      </c>
      <c r="B40" s="5" t="str">
        <f t="shared" si="0"/>
        <v xml:space="preserve">	蓟正豪</v>
      </c>
    </row>
    <row r="41" spans="1:2">
      <c r="A41" s="5" t="s">
        <v>79</v>
      </c>
      <c r="B41" s="5" t="str">
        <f t="shared" si="0"/>
        <v xml:space="preserve">	谢坚诚</v>
      </c>
    </row>
    <row r="42" spans="1:2">
      <c r="A42" s="5" t="s">
        <v>81</v>
      </c>
      <c r="B42" s="5" t="str">
        <f t="shared" si="0"/>
        <v xml:space="preserve">	路宏扬</v>
      </c>
    </row>
    <row r="43" spans="1:2">
      <c r="A43" s="5" t="s">
        <v>83</v>
      </c>
      <c r="B43" s="5" t="str">
        <f t="shared" si="0"/>
        <v xml:space="preserve">	柳天佑</v>
      </c>
    </row>
    <row r="44" spans="1:2">
      <c r="A44" s="5" t="s">
        <v>85</v>
      </c>
      <c r="B44" s="5" t="str">
        <f t="shared" si="0"/>
        <v xml:space="preserve">	董光亮</v>
      </c>
    </row>
    <row r="45" spans="1:2">
      <c r="A45" s="5" t="s">
        <v>87</v>
      </c>
      <c r="B45" s="5" t="str">
        <f t="shared" si="0"/>
        <v xml:space="preserve">	夹谷文</v>
      </c>
    </row>
    <row r="46" spans="1:2">
      <c r="A46" s="5" t="s">
        <v>89</v>
      </c>
      <c r="B46" s="5" t="str">
        <f t="shared" si="0"/>
        <v xml:space="preserve">	岑烨然</v>
      </c>
    </row>
    <row r="47" spans="1:2">
      <c r="A47" s="5" t="s">
        <v>91</v>
      </c>
      <c r="B47" s="5" t="str">
        <f t="shared" si="0"/>
        <v xml:space="preserve">	廖开济</v>
      </c>
    </row>
    <row r="48" spans="1:2">
      <c r="A48" s="5" t="s">
        <v>93</v>
      </c>
      <c r="B48" s="5" t="str">
        <f t="shared" si="0"/>
        <v xml:space="preserve">	颛孙伟</v>
      </c>
    </row>
    <row r="49" spans="1:2">
      <c r="A49" s="5" t="s">
        <v>95</v>
      </c>
      <c r="B49" s="5" t="str">
        <f t="shared" si="0"/>
        <v xml:space="preserve">	充宏逸</v>
      </c>
    </row>
    <row r="50" spans="1:2">
      <c r="A50" s="5" t="s">
        <v>97</v>
      </c>
      <c r="B50" s="5" t="str">
        <f t="shared" si="0"/>
        <v xml:space="preserve">	荀正德</v>
      </c>
    </row>
    <row r="51" spans="1:2">
      <c r="A51" s="4" t="s">
        <v>99</v>
      </c>
      <c r="B51" s="5" t="str">
        <f t="shared" si="0"/>
        <v>缪楚楚</v>
      </c>
    </row>
    <row r="52" spans="1:2">
      <c r="A52" s="4" t="s">
        <v>100</v>
      </c>
      <c r="B52" s="5" t="str">
        <f t="shared" si="0"/>
        <v>贡品韵</v>
      </c>
    </row>
    <row r="53" spans="1:2">
      <c r="A53" s="4" t="s">
        <v>101</v>
      </c>
      <c r="B53" s="5" t="str">
        <f t="shared" si="0"/>
        <v>訾雪晴</v>
      </c>
    </row>
    <row r="54" spans="1:2">
      <c r="A54" s="4" t="s">
        <v>102</v>
      </c>
      <c r="B54" s="5" t="str">
        <f t="shared" si="0"/>
        <v>芮易容</v>
      </c>
    </row>
    <row r="55" spans="1:2">
      <c r="A55" s="4" t="s">
        <v>103</v>
      </c>
      <c r="B55" s="5" t="str">
        <f t="shared" si="0"/>
        <v>宗思娜</v>
      </c>
    </row>
    <row r="56" spans="1:2">
      <c r="A56" s="4" t="s">
        <v>104</v>
      </c>
      <c r="B56" s="5" t="str">
        <f t="shared" si="0"/>
        <v>毋优璇</v>
      </c>
    </row>
    <row r="57" spans="1:2">
      <c r="A57" s="4" t="s">
        <v>105</v>
      </c>
      <c r="B57" s="5" t="str">
        <f t="shared" si="0"/>
        <v>胡从霜</v>
      </c>
    </row>
    <row r="58" spans="1:2">
      <c r="A58" s="4" t="s">
        <v>106</v>
      </c>
      <c r="B58" s="5" t="str">
        <f t="shared" si="0"/>
        <v>慕容洁玉</v>
      </c>
    </row>
    <row r="59" spans="1:2">
      <c r="A59" s="4" t="s">
        <v>107</v>
      </c>
      <c r="B59" s="5" t="str">
        <f t="shared" si="0"/>
        <v>扈博敏</v>
      </c>
    </row>
    <row r="60" spans="1:2">
      <c r="A60" s="4" t="s">
        <v>108</v>
      </c>
      <c r="B60" s="5" t="str">
        <f t="shared" si="0"/>
        <v>巩芮悦</v>
      </c>
    </row>
    <row r="61" spans="1:2">
      <c r="A61" s="4" t="s">
        <v>109</v>
      </c>
      <c r="B61" s="5" t="str">
        <f t="shared" si="0"/>
        <v>高典雅</v>
      </c>
    </row>
    <row r="62" spans="1:2">
      <c r="A62" s="4" t="s">
        <v>110</v>
      </c>
      <c r="B62" s="5" t="str">
        <f t="shared" si="0"/>
        <v>季密如</v>
      </c>
    </row>
    <row r="63" spans="1:2">
      <c r="A63" s="4" t="s">
        <v>111</v>
      </c>
      <c r="B63" s="5" t="str">
        <f t="shared" si="0"/>
        <v>雷雁枫</v>
      </c>
    </row>
    <row r="64" spans="1:2">
      <c r="A64" s="4" t="s">
        <v>112</v>
      </c>
      <c r="B64" s="5" t="str">
        <f t="shared" si="0"/>
        <v>许恨风</v>
      </c>
    </row>
    <row r="65" spans="1:2">
      <c r="A65" s="4" t="s">
        <v>113</v>
      </c>
      <c r="B65" s="5" t="str">
        <f t="shared" si="0"/>
        <v>晋楚洁静</v>
      </c>
    </row>
    <row r="66" spans="1:2">
      <c r="A66" s="4" t="s">
        <v>114</v>
      </c>
      <c r="B66" s="5" t="str">
        <f>LEFT(A66,4)</f>
        <v>劳听莲</v>
      </c>
    </row>
    <row r="67" spans="1:2">
      <c r="A67" s="4" t="s">
        <v>115</v>
      </c>
      <c r="B67" s="5" t="str">
        <f>LEFT(A67,4)</f>
        <v>沈新梅</v>
      </c>
    </row>
    <row r="68" spans="1:2">
      <c r="A68" s="4" t="s">
        <v>116</v>
      </c>
      <c r="B68" s="5" t="str">
        <f t="shared" ref="B68:B131" si="1">LEFT(A68,4)</f>
        <v>倪晓灵</v>
      </c>
    </row>
    <row r="69" spans="1:2">
      <c r="A69" s="4" t="s">
        <v>117</v>
      </c>
      <c r="B69" s="5" t="str">
        <f t="shared" si="1"/>
        <v>岑雨寒</v>
      </c>
    </row>
    <row r="70" spans="1:2">
      <c r="A70" s="4" t="s">
        <v>118</v>
      </c>
      <c r="B70" s="5" t="str">
        <f t="shared" si="1"/>
        <v>薛傲白</v>
      </c>
    </row>
    <row r="71" spans="1:2">
      <c r="A71" s="4" t="s">
        <v>119</v>
      </c>
      <c r="B71" s="5" t="str">
        <f t="shared" si="1"/>
        <v>益韶仪</v>
      </c>
    </row>
    <row r="72" spans="1:2">
      <c r="A72" s="4" t="s">
        <v>120</v>
      </c>
      <c r="B72" s="5" t="str">
        <f t="shared" si="1"/>
        <v>敖哲美</v>
      </c>
    </row>
    <row r="73" spans="1:2">
      <c r="A73" s="4" t="s">
        <v>121</v>
      </c>
      <c r="B73" s="5" t="str">
        <f t="shared" si="1"/>
        <v>卫听露</v>
      </c>
    </row>
    <row r="74" spans="1:2">
      <c r="A74" s="4" t="s">
        <v>122</v>
      </c>
      <c r="B74" s="5" t="str">
        <f t="shared" si="1"/>
        <v>晁芳蔼</v>
      </c>
    </row>
    <row r="75" spans="1:2">
      <c r="A75" s="4" t="s">
        <v>123</v>
      </c>
      <c r="B75" s="5" t="str">
        <f t="shared" si="1"/>
        <v>韦谷秋</v>
      </c>
    </row>
    <row r="76" spans="1:2">
      <c r="A76" s="4" t="s">
        <v>124</v>
      </c>
      <c r="B76" s="5" t="str">
        <f t="shared" si="1"/>
        <v>巫谨佳</v>
      </c>
    </row>
    <row r="77" spans="1:2">
      <c r="A77" s="4" t="s">
        <v>125</v>
      </c>
      <c r="B77" s="5" t="str">
        <f t="shared" si="1"/>
        <v>鄂情文</v>
      </c>
    </row>
    <row r="78" spans="1:2">
      <c r="A78" s="4" t="s">
        <v>126</v>
      </c>
      <c r="B78" s="5" t="str">
        <f t="shared" si="1"/>
        <v>干梦凡</v>
      </c>
    </row>
    <row r="79" spans="1:2">
      <c r="A79" s="4" t="s">
        <v>127</v>
      </c>
      <c r="B79" s="5" t="str">
        <f t="shared" si="1"/>
        <v>喻梓彤</v>
      </c>
    </row>
    <row r="80" spans="1:2">
      <c r="A80" s="4" t="s">
        <v>128</v>
      </c>
      <c r="B80" s="5" t="str">
        <f t="shared" si="1"/>
        <v>云香莲</v>
      </c>
    </row>
    <row r="81" spans="1:2">
      <c r="A81" s="4" t="s">
        <v>129</v>
      </c>
      <c r="B81" s="5" t="str">
        <f t="shared" si="1"/>
        <v>濮阳语燕</v>
      </c>
    </row>
    <row r="82" spans="1:2">
      <c r="A82" s="4" t="s">
        <v>130</v>
      </c>
      <c r="B82" s="5" t="str">
        <f t="shared" si="1"/>
        <v>黄寻梅</v>
      </c>
    </row>
    <row r="83" spans="1:2">
      <c r="A83" s="4" t="s">
        <v>131</v>
      </c>
      <c r="B83" s="5" t="str">
        <f t="shared" si="1"/>
        <v>闫法娅玟</v>
      </c>
    </row>
    <row r="84" spans="1:2">
      <c r="A84" s="4" t="s">
        <v>132</v>
      </c>
      <c r="B84" s="5" t="str">
        <f t="shared" si="1"/>
        <v>和雨婷</v>
      </c>
    </row>
    <row r="85" spans="1:2">
      <c r="A85" s="4" t="s">
        <v>133</v>
      </c>
      <c r="B85" s="5" t="str">
        <f t="shared" si="1"/>
        <v>裴思慧</v>
      </c>
    </row>
    <row r="86" spans="1:2">
      <c r="A86" s="4" t="s">
        <v>134</v>
      </c>
      <c r="B86" s="5" t="str">
        <f t="shared" si="1"/>
        <v>满莹莹</v>
      </c>
    </row>
    <row r="87" spans="1:2">
      <c r="A87" s="4" t="s">
        <v>135</v>
      </c>
      <c r="B87" s="5" t="str">
        <f t="shared" si="1"/>
        <v>严暖姝</v>
      </c>
    </row>
    <row r="88" spans="1:2">
      <c r="A88" s="4" t="s">
        <v>136</v>
      </c>
      <c r="B88" s="5" t="str">
        <f t="shared" si="1"/>
        <v>纪山梅</v>
      </c>
    </row>
    <row r="89" spans="1:2">
      <c r="A89" s="4" t="s">
        <v>137</v>
      </c>
      <c r="B89" s="5" t="str">
        <f t="shared" si="1"/>
        <v>乐正慕晴</v>
      </c>
    </row>
    <row r="90" spans="1:2">
      <c r="A90" s="4" t="s">
        <v>138</v>
      </c>
      <c r="B90" s="5" t="str">
        <f t="shared" si="1"/>
        <v>庞玉环</v>
      </c>
    </row>
    <row r="91" spans="1:2">
      <c r="A91" s="4" t="s">
        <v>139</v>
      </c>
      <c r="B91" s="5" t="str">
        <f t="shared" si="1"/>
        <v>宦璎玑</v>
      </c>
    </row>
    <row r="92" spans="1:2">
      <c r="A92" s="4" t="s">
        <v>140</v>
      </c>
      <c r="B92" s="5" t="str">
        <f t="shared" si="1"/>
        <v>贲安莲</v>
      </c>
    </row>
    <row r="93" spans="1:2">
      <c r="A93" s="4" t="s">
        <v>141</v>
      </c>
      <c r="B93" s="5" t="str">
        <f t="shared" si="1"/>
        <v>湛弘丽</v>
      </c>
    </row>
    <row r="94" spans="1:2">
      <c r="A94" s="4" t="s">
        <v>142</v>
      </c>
      <c r="B94" s="5" t="str">
        <f t="shared" si="1"/>
        <v>唐碧菡</v>
      </c>
    </row>
    <row r="95" spans="1:2">
      <c r="A95" s="4" t="s">
        <v>143</v>
      </c>
      <c r="B95" s="5" t="str">
        <f t="shared" si="1"/>
        <v>太叔问兰</v>
      </c>
    </row>
    <row r="96" spans="1:2">
      <c r="A96" s="4" t="s">
        <v>144</v>
      </c>
      <c r="B96" s="5" t="str">
        <f t="shared" si="1"/>
        <v>储安琪</v>
      </c>
    </row>
    <row r="97" spans="1:2">
      <c r="A97" s="4" t="s">
        <v>145</v>
      </c>
      <c r="B97" s="5" t="str">
        <f t="shared" si="1"/>
        <v>岳帅采绿</v>
      </c>
    </row>
    <row r="98" spans="1:2">
      <c r="A98" s="4" t="s">
        <v>146</v>
      </c>
      <c r="B98" s="5" t="str">
        <f t="shared" si="1"/>
        <v>邓醉易</v>
      </c>
    </row>
    <row r="99" spans="1:2">
      <c r="A99" s="4" t="s">
        <v>147</v>
      </c>
      <c r="B99" s="5" t="str">
        <f t="shared" si="1"/>
        <v>利微澜</v>
      </c>
    </row>
    <row r="100" spans="1:2">
      <c r="A100" s="4" t="s">
        <v>148</v>
      </c>
      <c r="B100" s="5" t="str">
        <f t="shared" si="1"/>
        <v>项绮怀</v>
      </c>
    </row>
    <row r="101" spans="1:2">
      <c r="A101" s="4" t="s">
        <v>149</v>
      </c>
      <c r="B101" s="5" t="str">
        <f t="shared" si="1"/>
        <v>井晓亦</v>
      </c>
    </row>
    <row r="102" spans="1:2">
      <c r="A102" s="4" t="s">
        <v>150</v>
      </c>
      <c r="B102" s="5" t="str">
        <f t="shared" si="1"/>
        <v>文琨瑜</v>
      </c>
    </row>
    <row r="103" spans="1:2">
      <c r="A103" s="4" t="s">
        <v>151</v>
      </c>
      <c r="B103" s="5" t="str">
        <f t="shared" si="1"/>
        <v>郁璎玑</v>
      </c>
    </row>
    <row r="104" spans="1:2">
      <c r="A104" s="4" t="s">
        <v>152</v>
      </c>
      <c r="B104" s="5" t="str">
        <f t="shared" si="1"/>
        <v>严夜春</v>
      </c>
    </row>
    <row r="105" spans="1:2">
      <c r="A105" s="4" t="s">
        <v>153</v>
      </c>
      <c r="B105" s="5" t="str">
        <f t="shared" si="1"/>
        <v>缪恬悦</v>
      </c>
    </row>
    <row r="106" spans="1:2">
      <c r="A106" s="4" t="s">
        <v>154</v>
      </c>
      <c r="B106" s="5" t="str">
        <f t="shared" si="1"/>
        <v>曹冰彤</v>
      </c>
    </row>
    <row r="107" spans="1:2">
      <c r="A107" s="4" t="s">
        <v>155</v>
      </c>
      <c r="B107" s="5" t="str">
        <f t="shared" si="1"/>
        <v>梅碧春</v>
      </c>
    </row>
    <row r="108" spans="1:2">
      <c r="A108" s="4" t="s">
        <v>156</v>
      </c>
      <c r="B108" s="5" t="str">
        <f t="shared" si="1"/>
        <v>朱丽华</v>
      </c>
    </row>
    <row r="109" spans="1:2">
      <c r="A109" s="4" t="s">
        <v>157</v>
      </c>
      <c r="B109" s="5" t="str">
        <f t="shared" si="1"/>
        <v>童洁静</v>
      </c>
    </row>
    <row r="110" spans="1:2">
      <c r="A110" s="4" t="s">
        <v>158</v>
      </c>
      <c r="B110" s="5" t="str">
        <f t="shared" si="1"/>
        <v>於慕凝</v>
      </c>
    </row>
    <row r="111" spans="1:2">
      <c r="A111" s="4" t="s">
        <v>159</v>
      </c>
      <c r="B111" s="5" t="str">
        <f t="shared" si="1"/>
        <v>咎姣丽</v>
      </c>
    </row>
    <row r="112" spans="1:2">
      <c r="A112" s="4" t="s">
        <v>160</v>
      </c>
      <c r="B112" s="5" t="str">
        <f t="shared" si="1"/>
        <v>严凝云</v>
      </c>
    </row>
    <row r="113" spans="1:2">
      <c r="A113" s="4" t="s">
        <v>161</v>
      </c>
      <c r="B113" s="5" t="str">
        <f t="shared" si="1"/>
        <v>缑亢丽芳</v>
      </c>
    </row>
    <row r="114" spans="1:2">
      <c r="A114" s="4" t="s">
        <v>162</v>
      </c>
      <c r="B114" s="5" t="str">
        <f t="shared" si="1"/>
        <v>左尔蝶</v>
      </c>
    </row>
    <row r="115" spans="1:2">
      <c r="A115" s="4" t="s">
        <v>163</v>
      </c>
      <c r="B115" s="5" t="str">
        <f t="shared" si="1"/>
        <v>郎天籁</v>
      </c>
    </row>
    <row r="116" spans="1:2">
      <c r="A116" s="4" t="s">
        <v>164</v>
      </c>
      <c r="B116" s="5" t="str">
        <f t="shared" si="1"/>
        <v>包奇颖</v>
      </c>
    </row>
    <row r="117" spans="1:2">
      <c r="A117" s="4" t="s">
        <v>165</v>
      </c>
      <c r="B117" s="5" t="str">
        <f t="shared" si="1"/>
        <v>夹谷思天</v>
      </c>
    </row>
    <row r="118" spans="1:2">
      <c r="A118" s="4" t="s">
        <v>166</v>
      </c>
      <c r="B118" s="5" t="str">
        <f t="shared" si="1"/>
        <v>宿皎洁</v>
      </c>
    </row>
    <row r="119" spans="1:2">
      <c r="A119" s="4" t="s">
        <v>167</v>
      </c>
      <c r="B119" s="5" t="str">
        <f t="shared" si="1"/>
        <v>桑夏波</v>
      </c>
    </row>
    <row r="120" spans="1:2">
      <c r="A120" s="4" t="s">
        <v>168</v>
      </c>
      <c r="B120" s="5" t="str">
        <f t="shared" si="1"/>
        <v>有琴平蝶</v>
      </c>
    </row>
    <row r="121" spans="1:2">
      <c r="A121" s="4" t="s">
        <v>169</v>
      </c>
      <c r="B121" s="5" t="str">
        <f t="shared" si="1"/>
        <v>严齐敏</v>
      </c>
    </row>
    <row r="122" spans="1:2">
      <c r="A122" s="4" t="s">
        <v>170</v>
      </c>
      <c r="B122" s="5" t="str">
        <f t="shared" si="1"/>
        <v>冀流如</v>
      </c>
    </row>
    <row r="123" spans="1:2">
      <c r="A123" s="4" t="s">
        <v>171</v>
      </c>
      <c r="B123" s="5" t="str">
        <f t="shared" si="1"/>
        <v>封心香</v>
      </c>
    </row>
    <row r="124" spans="1:2">
      <c r="A124" s="4" t="s">
        <v>172</v>
      </c>
      <c r="B124" s="5" t="str">
        <f t="shared" si="1"/>
        <v>唐翠丝</v>
      </c>
    </row>
    <row r="125" spans="1:2">
      <c r="A125" s="4" t="s">
        <v>173</v>
      </c>
      <c r="B125" s="5" t="str">
        <f t="shared" si="1"/>
        <v>逯乐枫</v>
      </c>
    </row>
    <row r="126" spans="1:2">
      <c r="A126" s="4" t="s">
        <v>174</v>
      </c>
      <c r="B126" s="5" t="str">
        <f t="shared" si="1"/>
        <v>郦灵薇</v>
      </c>
    </row>
    <row r="127" spans="1:2">
      <c r="A127" s="4" t="s">
        <v>175</v>
      </c>
      <c r="B127" s="5" t="str">
        <f t="shared" si="1"/>
        <v>傅凝旋</v>
      </c>
    </row>
    <row r="128" spans="1:2">
      <c r="A128" s="4" t="s">
        <v>176</v>
      </c>
      <c r="B128" s="5" t="str">
        <f t="shared" si="1"/>
        <v>惠叶舞</v>
      </c>
    </row>
    <row r="129" spans="1:2">
      <c r="A129" s="4" t="s">
        <v>177</v>
      </c>
      <c r="B129" s="5" t="str">
        <f t="shared" si="1"/>
        <v>禹慕悦</v>
      </c>
    </row>
    <row r="130" spans="1:2">
      <c r="A130" s="4" t="s">
        <v>178</v>
      </c>
      <c r="B130" s="5" t="str">
        <f t="shared" si="1"/>
        <v>徐诗翠</v>
      </c>
    </row>
    <row r="131" spans="1:2">
      <c r="A131" s="4" t="s">
        <v>179</v>
      </c>
      <c r="B131" s="5" t="str">
        <f t="shared" si="1"/>
        <v>况後初然</v>
      </c>
    </row>
    <row r="132" spans="1:2">
      <c r="A132" s="4" t="s">
        <v>180</v>
      </c>
      <c r="B132" s="5" t="str">
        <f t="shared" ref="B132:B195" si="2">LEFT(A132,4)</f>
        <v>蒋怡畅</v>
      </c>
    </row>
    <row r="133" spans="1:2">
      <c r="A133" s="4" t="s">
        <v>181</v>
      </c>
      <c r="B133" s="5" t="str">
        <f t="shared" si="2"/>
        <v>那一嘉</v>
      </c>
    </row>
    <row r="134" spans="1:2">
      <c r="A134" s="4" t="s">
        <v>182</v>
      </c>
      <c r="B134" s="5" t="str">
        <f t="shared" si="2"/>
        <v>喻凡雁</v>
      </c>
    </row>
    <row r="135" spans="1:2">
      <c r="A135" s="4" t="s">
        <v>183</v>
      </c>
      <c r="B135" s="5" t="str">
        <f t="shared" si="2"/>
        <v>暴多思</v>
      </c>
    </row>
    <row r="136" spans="1:2">
      <c r="A136" s="4" t="s">
        <v>184</v>
      </c>
      <c r="B136" s="5" t="str">
        <f t="shared" si="2"/>
        <v>游幼翠</v>
      </c>
    </row>
    <row r="137" spans="1:2">
      <c r="A137" s="4" t="s">
        <v>185</v>
      </c>
      <c r="B137" s="5" t="str">
        <f t="shared" si="2"/>
        <v>伍佳美</v>
      </c>
    </row>
    <row r="138" spans="1:2">
      <c r="A138" s="4" t="s">
        <v>186</v>
      </c>
      <c r="B138" s="5" t="str">
        <f t="shared" si="2"/>
        <v>漆雕以寒</v>
      </c>
    </row>
    <row r="139" spans="1:2">
      <c r="A139" s="4" t="s">
        <v>187</v>
      </c>
      <c r="B139" s="5" t="str">
        <f t="shared" si="2"/>
        <v>薛梦桃</v>
      </c>
    </row>
    <row r="140" spans="1:2">
      <c r="A140" s="4" t="s">
        <v>188</v>
      </c>
      <c r="B140" s="5" t="str">
        <f t="shared" si="2"/>
        <v>咎静恬</v>
      </c>
    </row>
    <row r="141" spans="1:2">
      <c r="A141" s="4" t="s">
        <v>189</v>
      </c>
      <c r="B141" s="5" t="str">
        <f t="shared" si="2"/>
        <v>牛碧凡</v>
      </c>
    </row>
    <row r="142" spans="1:2">
      <c r="A142" s="4" t="s">
        <v>190</v>
      </c>
      <c r="B142" s="5" t="str">
        <f t="shared" si="2"/>
        <v>妫海甘泽</v>
      </c>
    </row>
    <row r="143" spans="1:2">
      <c r="A143" s="4" t="s">
        <v>191</v>
      </c>
      <c r="B143" s="5" t="str">
        <f t="shared" si="2"/>
        <v>车姿蝉</v>
      </c>
    </row>
    <row r="144" spans="1:2">
      <c r="A144" s="4" t="s">
        <v>192</v>
      </c>
      <c r="B144" s="5" t="str">
        <f t="shared" si="2"/>
        <v>容秋玉</v>
      </c>
    </row>
    <row r="145" spans="1:2">
      <c r="A145" s="4" t="s">
        <v>193</v>
      </c>
      <c r="B145" s="5" t="str">
        <f t="shared" si="2"/>
        <v>沈雅歌</v>
      </c>
    </row>
    <row r="146" spans="1:2">
      <c r="A146" s="4" t="s">
        <v>194</v>
      </c>
      <c r="B146" s="5" t="str">
        <f t="shared" si="2"/>
        <v>须林楠</v>
      </c>
    </row>
    <row r="147" spans="1:2">
      <c r="A147" s="4" t="s">
        <v>195</v>
      </c>
      <c r="B147" s="5" t="str">
        <f t="shared" si="2"/>
        <v>俟琇云</v>
      </c>
    </row>
    <row r="148" spans="1:2">
      <c r="A148" s="4" t="s">
        <v>196</v>
      </c>
      <c r="B148" s="5" t="str">
        <f t="shared" si="2"/>
        <v>崔敏思</v>
      </c>
    </row>
    <row r="149" spans="1:2">
      <c r="A149" s="4" t="s">
        <v>197</v>
      </c>
      <c r="B149" s="5" t="str">
        <f t="shared" si="2"/>
        <v>滕雅洁</v>
      </c>
    </row>
    <row r="150" spans="1:2">
      <c r="A150" s="4" t="s">
        <v>198</v>
      </c>
      <c r="B150" s="5" t="str">
        <f t="shared" si="2"/>
        <v>印觅双</v>
      </c>
    </row>
    <row r="151" spans="1:2">
      <c r="A151" s="5" t="s">
        <v>0</v>
      </c>
      <c r="B151" s="5" t="str">
        <f t="shared" si="2"/>
        <v>戴国安</v>
      </c>
    </row>
    <row r="152" spans="1:2">
      <c r="A152" s="5" t="s">
        <v>2</v>
      </c>
      <c r="B152" s="5" t="str">
        <f t="shared" si="2"/>
        <v>吉温纶</v>
      </c>
    </row>
    <row r="153" spans="1:2">
      <c r="A153" s="5" t="s">
        <v>4</v>
      </c>
      <c r="B153" s="5" t="str">
        <f t="shared" si="2"/>
        <v>盖擎宇</v>
      </c>
    </row>
    <row r="154" spans="1:2">
      <c r="A154" s="5" t="s">
        <v>6</v>
      </c>
      <c r="B154" s="5" t="str">
        <f t="shared" si="2"/>
        <v>阙宇荫</v>
      </c>
    </row>
    <row r="155" spans="1:2">
      <c r="A155" s="5" t="s">
        <v>8</v>
      </c>
      <c r="B155" s="5" t="str">
        <f t="shared" si="2"/>
        <v>羿元洲</v>
      </c>
    </row>
    <row r="156" spans="1:2">
      <c r="A156" s="5" t="s">
        <v>10</v>
      </c>
      <c r="B156" s="5" t="str">
        <f t="shared" si="2"/>
        <v>乐正正阳</v>
      </c>
    </row>
    <row r="157" spans="1:2">
      <c r="A157" s="5" t="s">
        <v>12</v>
      </c>
      <c r="B157" s="5" t="str">
        <f t="shared" si="2"/>
        <v>通鸿羲</v>
      </c>
    </row>
    <row r="158" spans="1:2">
      <c r="A158" s="5" t="s">
        <v>14</v>
      </c>
      <c r="B158" s="5" t="str">
        <f t="shared" si="2"/>
        <v>厉彭魄</v>
      </c>
    </row>
    <row r="159" spans="1:2">
      <c r="A159" s="5" t="s">
        <v>16</v>
      </c>
      <c r="B159" s="5" t="str">
        <f t="shared" si="2"/>
        <v>骆博容</v>
      </c>
    </row>
    <row r="160" spans="1:2">
      <c r="A160" s="5" t="s">
        <v>18</v>
      </c>
      <c r="B160" s="5" t="str">
        <f t="shared" si="2"/>
        <v>孟奇邃</v>
      </c>
    </row>
    <row r="161" spans="1:2">
      <c r="A161" s="5" t="s">
        <v>20</v>
      </c>
      <c r="B161" s="5" t="str">
        <f t="shared" si="2"/>
        <v>甄嘉志</v>
      </c>
    </row>
    <row r="162" spans="1:2">
      <c r="A162" s="5" t="s">
        <v>22</v>
      </c>
      <c r="B162" s="5" t="str">
        <f t="shared" si="2"/>
        <v>乐正巍奕</v>
      </c>
    </row>
    <row r="163" spans="1:2">
      <c r="A163" s="5" t="s">
        <v>24</v>
      </c>
      <c r="B163" s="5" t="str">
        <f t="shared" si="2"/>
        <v>祖思淼</v>
      </c>
    </row>
    <row r="164" spans="1:2">
      <c r="A164" s="5" t="s">
        <v>26</v>
      </c>
      <c r="B164" s="5" t="str">
        <f t="shared" si="2"/>
        <v>罗锐精</v>
      </c>
    </row>
    <row r="165" spans="1:2">
      <c r="A165" s="5" t="s">
        <v>28</v>
      </c>
      <c r="B165" s="5" t="str">
        <f t="shared" si="2"/>
        <v>居良策</v>
      </c>
    </row>
    <row r="166" spans="1:2">
      <c r="A166" s="5" t="s">
        <v>30</v>
      </c>
      <c r="B166" s="5" t="str">
        <f t="shared" si="2"/>
        <v>党康顺</v>
      </c>
    </row>
    <row r="167" spans="1:2">
      <c r="A167" s="5" t="s">
        <v>32</v>
      </c>
      <c r="B167" s="5" t="str">
        <f t="shared" si="2"/>
        <v>习永言</v>
      </c>
    </row>
    <row r="168" spans="1:2">
      <c r="A168" s="5" t="s">
        <v>34</v>
      </c>
      <c r="B168" s="5" t="str">
        <f t="shared" si="2"/>
        <v>景学义</v>
      </c>
    </row>
    <row r="169" spans="1:2">
      <c r="A169" s="5" t="s">
        <v>36</v>
      </c>
      <c r="B169" s="5" t="str">
        <f t="shared" si="2"/>
        <v>林景龙</v>
      </c>
    </row>
    <row r="170" spans="1:2">
      <c r="A170" s="5" t="s">
        <v>38</v>
      </c>
      <c r="B170" s="5" t="str">
        <f t="shared" si="2"/>
        <v>晋楚鸿风</v>
      </c>
    </row>
    <row r="171" spans="1:2">
      <c r="A171" s="5" t="s">
        <v>40</v>
      </c>
      <c r="B171" s="5" t="str">
        <f t="shared" si="2"/>
        <v>公羊承宣</v>
      </c>
    </row>
    <row r="172" spans="1:2">
      <c r="A172" s="5" t="s">
        <v>42</v>
      </c>
      <c r="B172" s="5" t="str">
        <f t="shared" si="2"/>
        <v>咸伟彦</v>
      </c>
    </row>
    <row r="173" spans="1:2">
      <c r="A173" s="5" t="s">
        <v>44</v>
      </c>
      <c r="B173" s="5" t="str">
        <f t="shared" si="2"/>
        <v>关文翰</v>
      </c>
    </row>
    <row r="174" spans="1:2">
      <c r="A174" s="5" t="s">
        <v>46</v>
      </c>
      <c r="B174" s="5" t="str">
        <f t="shared" si="2"/>
        <v>晁彭魄</v>
      </c>
    </row>
    <row r="175" spans="1:2">
      <c r="A175" s="5" t="s">
        <v>48</v>
      </c>
      <c r="B175" s="5" t="str">
        <f t="shared" si="2"/>
        <v>籍开畅</v>
      </c>
    </row>
    <row r="176" spans="1:2">
      <c r="A176" s="5" t="s">
        <v>50</v>
      </c>
      <c r="B176" s="5" t="str">
        <f t="shared" si="2"/>
        <v>妫海承嗣</v>
      </c>
    </row>
    <row r="177" spans="1:2">
      <c r="A177" s="5" t="s">
        <v>52</v>
      </c>
      <c r="B177" s="5" t="str">
        <f t="shared" si="2"/>
        <v>空德本</v>
      </c>
    </row>
    <row r="178" spans="1:2">
      <c r="A178" s="5" t="s">
        <v>54</v>
      </c>
      <c r="B178" s="5" t="str">
        <f t="shared" si="2"/>
        <v>毕鸿才</v>
      </c>
    </row>
    <row r="179" spans="1:2">
      <c r="A179" s="5" t="s">
        <v>56</v>
      </c>
      <c r="B179" s="5" t="str">
        <f t="shared" si="2"/>
        <v>翟鸿卓</v>
      </c>
    </row>
    <row r="180" spans="1:2">
      <c r="A180" s="5" t="s">
        <v>58</v>
      </c>
      <c r="B180" s="5" t="str">
        <f t="shared" si="2"/>
        <v>仲孙茂学</v>
      </c>
    </row>
    <row r="181" spans="1:2">
      <c r="A181" s="5" t="s">
        <v>60</v>
      </c>
      <c r="B181" s="5" t="str">
        <f t="shared" si="2"/>
        <v>山信鸥</v>
      </c>
    </row>
    <row r="182" spans="1:2">
      <c r="A182" s="5" t="s">
        <v>62</v>
      </c>
      <c r="B182" s="5" t="str">
        <f t="shared" si="2"/>
        <v>温俊捷</v>
      </c>
    </row>
    <row r="183" spans="1:2">
      <c r="A183" s="5" t="s">
        <v>64</v>
      </c>
      <c r="B183" s="5" t="str">
        <f t="shared" si="2"/>
        <v>元兴德</v>
      </c>
    </row>
    <row r="184" spans="1:2">
      <c r="A184" s="5" t="s">
        <v>66</v>
      </c>
      <c r="B184" s="5" t="str">
        <f t="shared" si="2"/>
        <v>和 德运</v>
      </c>
    </row>
    <row r="185" spans="1:2">
      <c r="A185" s="5" t="s">
        <v>68</v>
      </c>
      <c r="B185" s="5" t="str">
        <f t="shared" si="2"/>
        <v>左丘乐游</v>
      </c>
    </row>
    <row r="186" spans="1:2">
      <c r="A186" s="5" t="s">
        <v>70</v>
      </c>
      <c r="B186" s="5" t="str">
        <f t="shared" si="2"/>
        <v>莘茂勋</v>
      </c>
    </row>
    <row r="187" spans="1:2">
      <c r="A187" s="5" t="s">
        <v>72</v>
      </c>
      <c r="B187" s="5" t="str">
        <f t="shared" si="2"/>
        <v>令狐意蕴</v>
      </c>
    </row>
    <row r="188" spans="1:2">
      <c r="A188" s="5" t="s">
        <v>74</v>
      </c>
      <c r="B188" s="5" t="str">
        <f t="shared" si="2"/>
        <v>隗建弼</v>
      </c>
    </row>
    <row r="189" spans="1:2">
      <c r="A189" s="5" t="s">
        <v>76</v>
      </c>
      <c r="B189" s="5" t="str">
        <f t="shared" si="2"/>
        <v>支明智</v>
      </c>
    </row>
    <row r="190" spans="1:2">
      <c r="A190" s="5" t="s">
        <v>78</v>
      </c>
      <c r="B190" s="5" t="str">
        <f t="shared" si="2"/>
        <v>居兴学</v>
      </c>
    </row>
    <row r="191" spans="1:2">
      <c r="A191" s="5" t="s">
        <v>80</v>
      </c>
      <c r="B191" s="5" t="str">
        <f t="shared" si="2"/>
        <v>樊涵润</v>
      </c>
    </row>
    <row r="192" spans="1:2">
      <c r="A192" s="5" t="s">
        <v>82</v>
      </c>
      <c r="B192" s="5" t="str">
        <f t="shared" si="2"/>
        <v>濮阳英飙</v>
      </c>
    </row>
    <row r="193" spans="1:2">
      <c r="A193" s="5" t="s">
        <v>84</v>
      </c>
      <c r="B193" s="5" t="str">
        <f t="shared" si="2"/>
        <v>康修文</v>
      </c>
    </row>
    <row r="194" spans="1:2">
      <c r="A194" s="5" t="s">
        <v>86</v>
      </c>
      <c r="B194" s="5" t="str">
        <f t="shared" si="2"/>
        <v>凌宜春</v>
      </c>
    </row>
    <row r="195" spans="1:2">
      <c r="A195" s="5" t="s">
        <v>88</v>
      </c>
      <c r="B195" s="5" t="str">
        <f t="shared" si="2"/>
        <v>寿修能</v>
      </c>
    </row>
    <row r="196" spans="1:2">
      <c r="A196" s="5" t="s">
        <v>90</v>
      </c>
      <c r="B196" s="5" t="str">
        <f>LEFT(A196,4)</f>
        <v>申勇军</v>
      </c>
    </row>
    <row r="197" spans="1:2">
      <c r="A197" s="5" t="s">
        <v>92</v>
      </c>
      <c r="B197" s="5" t="str">
        <f>LEFT(A197,4)</f>
        <v>邹子轩</v>
      </c>
    </row>
    <row r="198" spans="1:2">
      <c r="A198" s="5" t="s">
        <v>94</v>
      </c>
      <c r="B198" s="5" t="str">
        <f>LEFT(A198,4)</f>
        <v>年爱温茂</v>
      </c>
    </row>
    <row r="199" spans="1:2">
      <c r="A199" s="5" t="s">
        <v>96</v>
      </c>
      <c r="B199" s="5" t="str">
        <f>LEFT(A199,4)</f>
        <v>司空玉泉</v>
      </c>
    </row>
    <row r="200" spans="1:2">
      <c r="A200" s="5" t="s">
        <v>98</v>
      </c>
      <c r="B200" s="5" t="str">
        <f t="shared" ref="B200:B257" si="3">LEFT(A200,7)</f>
        <v>况後英韶</v>
      </c>
    </row>
    <row r="201" spans="1:2">
      <c r="A201" s="7" t="s">
        <v>199</v>
      </c>
      <c r="B201" s="5" t="str">
        <f t="shared" si="3"/>
        <v>饭塚智辉</v>
      </c>
    </row>
    <row r="202" spans="1:2">
      <c r="A202" s="7" t="s">
        <v>200</v>
      </c>
      <c r="B202" s="5" t="str">
        <f t="shared" si="3"/>
        <v>一色奏音</v>
      </c>
    </row>
    <row r="203" spans="1:2" ht="14.25">
      <c r="A203" s="6" t="s">
        <v>201</v>
      </c>
      <c r="B203" s="5" t="str">
        <f t="shared" si="3"/>
        <v>尾形智史</v>
      </c>
    </row>
    <row r="204" spans="1:2" ht="14.25">
      <c r="A204" s="6" t="s">
        <v>202</v>
      </c>
      <c r="B204" s="5" t="str">
        <f t="shared" si="3"/>
        <v>柳沢幸大</v>
      </c>
    </row>
    <row r="205" spans="1:2" ht="14.25">
      <c r="A205" s="6" t="s">
        <v>203</v>
      </c>
      <c r="B205" s="5" t="str">
        <f t="shared" si="3"/>
        <v>平冈佳右</v>
      </c>
    </row>
    <row r="206" spans="1:2" ht="14.25">
      <c r="A206" s="6" t="s">
        <v>204</v>
      </c>
      <c r="B206" s="5" t="str">
        <f t="shared" si="3"/>
        <v>冈村彻平</v>
      </c>
    </row>
    <row r="207" spans="1:2" ht="14.25">
      <c r="A207" s="6" t="s">
        <v>205</v>
      </c>
      <c r="B207" s="5" t="str">
        <f t="shared" si="3"/>
        <v>吉冈瑞希</v>
      </c>
    </row>
    <row r="208" spans="1:2" ht="14.25">
      <c r="A208" s="6" t="s">
        <v>206</v>
      </c>
      <c r="B208" s="5" t="str">
        <f t="shared" si="3"/>
        <v>海野右京</v>
      </c>
    </row>
    <row r="209" spans="1:2" ht="14.25">
      <c r="A209" s="6" t="s">
        <v>207</v>
      </c>
      <c r="B209" s="5" t="str">
        <f t="shared" si="3"/>
        <v>坪井稜</v>
      </c>
    </row>
    <row r="210" spans="1:2" ht="14.25">
      <c r="A210" s="6" t="s">
        <v>208</v>
      </c>
      <c r="B210" s="5" t="str">
        <f t="shared" si="3"/>
        <v>西原快人</v>
      </c>
    </row>
    <row r="211" spans="1:2" ht="14.25">
      <c r="A211" s="6" t="s">
        <v>209</v>
      </c>
      <c r="B211" s="5" t="str">
        <f t="shared" si="3"/>
        <v>桑田悠大</v>
      </c>
    </row>
    <row r="212" spans="1:2" ht="14.25">
      <c r="A212" s="6" t="s">
        <v>210</v>
      </c>
      <c r="B212" s="5" t="str">
        <f t="shared" si="3"/>
        <v>有马树</v>
      </c>
    </row>
    <row r="213" spans="1:2" ht="14.25">
      <c r="A213" s="6" t="s">
        <v>211</v>
      </c>
      <c r="B213" s="5" t="str">
        <f t="shared" si="3"/>
        <v>山川祥</v>
      </c>
    </row>
    <row r="214" spans="1:2" ht="14.25">
      <c r="A214" s="6" t="s">
        <v>212</v>
      </c>
      <c r="B214" s="5" t="str">
        <f t="shared" si="3"/>
        <v>依田阳登</v>
      </c>
    </row>
    <row r="215" spans="1:2" ht="14.25">
      <c r="A215" s="6" t="s">
        <v>213</v>
      </c>
      <c r="B215" s="5" t="str">
        <f t="shared" si="3"/>
        <v>东雄一</v>
      </c>
    </row>
    <row r="216" spans="1:2" ht="14.25">
      <c r="A216" s="6" t="s">
        <v>214</v>
      </c>
      <c r="B216" s="5" t="str">
        <f t="shared" si="3"/>
        <v>川本心</v>
      </c>
    </row>
    <row r="217" spans="1:2" ht="14.25">
      <c r="A217" s="6" t="s">
        <v>215</v>
      </c>
      <c r="B217" s="5" t="str">
        <f t="shared" si="3"/>
        <v>北岛智大</v>
      </c>
    </row>
    <row r="218" spans="1:2" ht="14.25">
      <c r="A218" s="6" t="s">
        <v>216</v>
      </c>
      <c r="B218" s="5" t="str">
        <f t="shared" si="3"/>
        <v>小宫阳登</v>
      </c>
    </row>
    <row r="219" spans="1:2" ht="14.25">
      <c r="A219" s="6" t="s">
        <v>217</v>
      </c>
      <c r="B219" s="5" t="str">
        <f t="shared" si="3"/>
        <v>安东竣</v>
      </c>
    </row>
    <row r="220" spans="1:2" ht="14.25">
      <c r="A220" s="6" t="s">
        <v>218</v>
      </c>
      <c r="B220" s="5" t="str">
        <f t="shared" si="3"/>
        <v>森胁亮平</v>
      </c>
    </row>
    <row r="221" spans="1:2" ht="14.25">
      <c r="A221" s="6" t="s">
        <v>219</v>
      </c>
      <c r="B221" s="5" t="str">
        <f t="shared" si="3"/>
        <v>川端航大</v>
      </c>
    </row>
    <row r="222" spans="1:2" ht="14.25">
      <c r="A222" s="6" t="s">
        <v>220</v>
      </c>
      <c r="B222" s="5" t="str">
        <f t="shared" si="3"/>
        <v>安原知也</v>
      </c>
    </row>
    <row r="223" spans="1:2" ht="14.25">
      <c r="A223" s="6" t="s">
        <v>221</v>
      </c>
      <c r="B223" s="5" t="str">
        <f t="shared" si="3"/>
        <v>真野智久</v>
      </c>
    </row>
    <row r="224" spans="1:2" ht="14.25">
      <c r="A224" s="6" t="s">
        <v>222</v>
      </c>
      <c r="B224" s="5" t="str">
        <f t="shared" si="3"/>
        <v>堀越琉伟</v>
      </c>
    </row>
    <row r="225" spans="1:2" ht="14.25">
      <c r="A225" s="6" t="s">
        <v>223</v>
      </c>
      <c r="B225" s="5" t="str">
        <f t="shared" si="3"/>
        <v>明石哲平</v>
      </c>
    </row>
    <row r="226" spans="1:2" ht="14.25">
      <c r="A226" s="6" t="s">
        <v>224</v>
      </c>
      <c r="B226" s="5" t="str">
        <f t="shared" si="3"/>
        <v>宫岛真吾</v>
      </c>
    </row>
    <row r="227" spans="1:2" ht="14.25">
      <c r="A227" s="6" t="s">
        <v>225</v>
      </c>
      <c r="B227" s="5" t="str">
        <f t="shared" si="3"/>
        <v>副岛庆悟</v>
      </c>
    </row>
    <row r="228" spans="1:2" ht="14.25">
      <c r="A228" s="6" t="s">
        <v>226</v>
      </c>
      <c r="B228" s="5" t="str">
        <f t="shared" si="3"/>
        <v>川崎亮太</v>
      </c>
    </row>
    <row r="229" spans="1:2" ht="14.25">
      <c r="A229" s="6" t="s">
        <v>227</v>
      </c>
      <c r="B229" s="5" t="str">
        <f t="shared" si="3"/>
        <v>大森阳辉</v>
      </c>
    </row>
    <row r="230" spans="1:2" ht="14.25">
      <c r="A230" s="6" t="s">
        <v>228</v>
      </c>
      <c r="B230" s="5" t="str">
        <f t="shared" si="3"/>
        <v>土肥苍太</v>
      </c>
    </row>
    <row r="231" spans="1:2" ht="14.25">
      <c r="A231" s="6" t="s">
        <v>229</v>
      </c>
      <c r="B231" s="5" t="str">
        <f t="shared" si="3"/>
        <v>松村勇真</v>
      </c>
    </row>
    <row r="232" spans="1:2" ht="14.25">
      <c r="A232" s="6" t="s">
        <v>230</v>
      </c>
      <c r="B232" s="5" t="str">
        <f t="shared" si="3"/>
        <v>冲大喜</v>
      </c>
    </row>
    <row r="233" spans="1:2" ht="14.25">
      <c r="A233" s="6" t="s">
        <v>231</v>
      </c>
      <c r="B233" s="5" t="str">
        <f t="shared" si="3"/>
        <v>秋田温人</v>
      </c>
    </row>
    <row r="234" spans="1:2" ht="14.25">
      <c r="A234" s="6" t="s">
        <v>232</v>
      </c>
      <c r="B234" s="5" t="str">
        <f t="shared" si="3"/>
        <v>结城晃太</v>
      </c>
    </row>
    <row r="235" spans="1:2" ht="14.25">
      <c r="A235" s="6" t="s">
        <v>233</v>
      </c>
      <c r="B235" s="5" t="str">
        <f t="shared" si="3"/>
        <v>笠井柊斗</v>
      </c>
    </row>
    <row r="236" spans="1:2" ht="14.25">
      <c r="A236" s="6" t="s">
        <v>234</v>
      </c>
      <c r="B236" s="5" t="str">
        <f t="shared" si="3"/>
        <v>金守</v>
      </c>
    </row>
    <row r="237" spans="1:2" ht="14.25">
      <c r="A237" s="6" t="s">
        <v>235</v>
      </c>
      <c r="B237" s="5" t="str">
        <f t="shared" si="3"/>
        <v>古沢洸希</v>
      </c>
    </row>
    <row r="238" spans="1:2" ht="14.25">
      <c r="A238" s="6" t="s">
        <v>236</v>
      </c>
      <c r="B238" s="5" t="str">
        <f t="shared" si="3"/>
        <v>竹内俊太郎</v>
      </c>
    </row>
    <row r="239" spans="1:2" ht="14.25">
      <c r="A239" s="6" t="s">
        <v>237</v>
      </c>
      <c r="B239" s="5" t="str">
        <f t="shared" si="3"/>
        <v>梅村善</v>
      </c>
    </row>
    <row r="240" spans="1:2" ht="14.25">
      <c r="A240" s="6" t="s">
        <v>238</v>
      </c>
      <c r="B240" s="5" t="str">
        <f t="shared" si="3"/>
        <v>植田优也</v>
      </c>
    </row>
    <row r="241" spans="1:2" ht="14.25">
      <c r="A241" s="6" t="s">
        <v>239</v>
      </c>
      <c r="B241" s="5" t="str">
        <f t="shared" si="3"/>
        <v>管沼泰生</v>
      </c>
    </row>
    <row r="242" spans="1:2" ht="14.25">
      <c r="A242" s="6" t="s">
        <v>240</v>
      </c>
      <c r="B242" s="5" t="str">
        <f t="shared" si="3"/>
        <v>浜口凉太郎</v>
      </c>
    </row>
    <row r="243" spans="1:2" ht="14.25">
      <c r="A243" s="6" t="s">
        <v>241</v>
      </c>
      <c r="B243" s="5" t="str">
        <f t="shared" si="3"/>
        <v>高崎阳葵</v>
      </c>
    </row>
    <row r="244" spans="1:2" ht="14.25">
      <c r="A244" s="6" t="s">
        <v>242</v>
      </c>
      <c r="B244" s="5" t="str">
        <f t="shared" si="3"/>
        <v>黒田启斗</v>
      </c>
    </row>
    <row r="245" spans="1:2" ht="14.25">
      <c r="A245" s="6" t="s">
        <v>243</v>
      </c>
      <c r="B245" s="5" t="str">
        <f t="shared" si="3"/>
        <v>鎌田悠纪</v>
      </c>
    </row>
    <row r="246" spans="1:2" ht="14.25">
      <c r="A246" s="6" t="s">
        <v>244</v>
      </c>
      <c r="B246" s="5" t="str">
        <f t="shared" si="3"/>
        <v>城一</v>
      </c>
    </row>
    <row r="247" spans="1:2" ht="14.25">
      <c r="A247" s="6" t="s">
        <v>245</v>
      </c>
      <c r="B247" s="5" t="str">
        <f t="shared" si="3"/>
        <v>远藤健一</v>
      </c>
    </row>
    <row r="248" spans="1:2" ht="14.25">
      <c r="A248" s="6" t="s">
        <v>246</v>
      </c>
      <c r="B248" s="5" t="str">
        <f t="shared" si="3"/>
        <v>横尾大斗</v>
      </c>
    </row>
    <row r="249" spans="1:2" ht="14.25">
      <c r="A249" s="6" t="s">
        <v>247</v>
      </c>
      <c r="B249" s="5" t="str">
        <f t="shared" si="3"/>
        <v>古谷右介</v>
      </c>
    </row>
    <row r="250" spans="1:2" ht="14.25">
      <c r="A250" s="6" t="s">
        <v>248</v>
      </c>
      <c r="B250" s="5" t="str">
        <f t="shared" si="3"/>
        <v>戸田快</v>
      </c>
    </row>
    <row r="251" spans="1:2" ht="14.25">
      <c r="A251" s="6" t="s">
        <v>249</v>
      </c>
      <c r="B251" s="5" t="str">
        <f t="shared" si="3"/>
        <v>高瀬谦信</v>
      </c>
    </row>
    <row r="252" spans="1:2" ht="14.25">
      <c r="A252" s="6" t="s">
        <v>250</v>
      </c>
      <c r="B252" s="5" t="str">
        <f t="shared" si="3"/>
        <v>茂木泰辉</v>
      </c>
    </row>
    <row r="253" spans="1:2" ht="14.25">
      <c r="A253" s="6" t="s">
        <v>251</v>
      </c>
      <c r="B253" s="5" t="str">
        <f t="shared" si="3"/>
        <v>下川拓梦</v>
      </c>
    </row>
    <row r="254" spans="1:2" ht="14.25">
      <c r="A254" s="6" t="s">
        <v>252</v>
      </c>
      <c r="B254" s="5" t="str">
        <f t="shared" si="3"/>
        <v>小室翔也</v>
      </c>
    </row>
    <row r="255" spans="1:2" ht="14.25">
      <c r="A255" s="6" t="s">
        <v>253</v>
      </c>
      <c r="B255" s="5" t="str">
        <f t="shared" si="3"/>
        <v>富永耀</v>
      </c>
    </row>
    <row r="256" spans="1:2" ht="14.25">
      <c r="A256" s="6" t="s">
        <v>254</v>
      </c>
      <c r="B256" s="5" t="str">
        <f t="shared" si="3"/>
        <v>熊野佑</v>
      </c>
    </row>
    <row r="257" spans="1:2" ht="14.25">
      <c r="A257" s="6" t="s">
        <v>255</v>
      </c>
      <c r="B257" s="5" t="str">
        <f t="shared" si="3"/>
        <v>坪内勇树</v>
      </c>
    </row>
    <row r="258" spans="1:2" ht="14.25">
      <c r="A258" s="6" t="s">
        <v>256</v>
      </c>
      <c r="B258" s="5" t="str">
        <f t="shared" ref="B258:B321" si="4">LEFT(A258,7)</f>
        <v>戸田苍斗</v>
      </c>
    </row>
    <row r="259" spans="1:2" ht="14.25">
      <c r="A259" s="6" t="s">
        <v>257</v>
      </c>
      <c r="B259" s="5" t="str">
        <f t="shared" si="4"/>
        <v>尾上秀树</v>
      </c>
    </row>
    <row r="260" spans="1:2" ht="14.25">
      <c r="A260" s="6" t="s">
        <v>258</v>
      </c>
      <c r="B260" s="5" t="str">
        <f t="shared" si="4"/>
        <v>竹原洸希</v>
      </c>
    </row>
    <row r="261" spans="1:2" ht="14.25">
      <c r="A261" s="6" t="s">
        <v>259</v>
      </c>
      <c r="B261" s="5" t="str">
        <f t="shared" si="4"/>
        <v>西和弘</v>
      </c>
    </row>
    <row r="262" spans="1:2" ht="14.25">
      <c r="A262" s="6" t="s">
        <v>260</v>
      </c>
      <c r="B262" s="5" t="str">
        <f t="shared" si="4"/>
        <v>驹井龙辉</v>
      </c>
    </row>
    <row r="263" spans="1:2" ht="14.25">
      <c r="A263" s="6" t="s">
        <v>261</v>
      </c>
      <c r="B263" s="5" t="str">
        <f t="shared" si="4"/>
        <v>若林璃久</v>
      </c>
    </row>
    <row r="264" spans="1:2" ht="14.25">
      <c r="A264" s="6" t="s">
        <v>262</v>
      </c>
      <c r="B264" s="5" t="str">
        <f t="shared" si="4"/>
        <v>豊田凛人</v>
      </c>
    </row>
    <row r="265" spans="1:2" ht="14.25">
      <c r="A265" s="6" t="s">
        <v>263</v>
      </c>
      <c r="B265" s="5" t="str">
        <f t="shared" si="4"/>
        <v>高森雄真</v>
      </c>
    </row>
    <row r="266" spans="1:2" ht="14.25">
      <c r="A266" s="6" t="s">
        <v>264</v>
      </c>
      <c r="B266" s="5" t="str">
        <f t="shared" si="4"/>
        <v>若林想太</v>
      </c>
    </row>
    <row r="267" spans="1:2" ht="14.25">
      <c r="A267" s="6" t="s">
        <v>265</v>
      </c>
      <c r="B267" s="5" t="str">
        <f t="shared" si="4"/>
        <v>岛右希</v>
      </c>
    </row>
    <row r="268" spans="1:2" ht="14.25">
      <c r="A268" s="6" t="s">
        <v>266</v>
      </c>
      <c r="B268" s="5" t="str">
        <f t="shared" si="4"/>
        <v>朝仓颯汰</v>
      </c>
    </row>
    <row r="269" spans="1:2" ht="14.25">
      <c r="A269" s="6" t="s">
        <v>267</v>
      </c>
      <c r="B269" s="5" t="str">
        <f t="shared" si="4"/>
        <v>饭田諭</v>
      </c>
    </row>
    <row r="270" spans="1:2" ht="14.25">
      <c r="A270" s="6" t="s">
        <v>268</v>
      </c>
      <c r="B270" s="5" t="str">
        <f t="shared" si="4"/>
        <v>奥村武尊</v>
      </c>
    </row>
    <row r="271" spans="1:2" ht="14.25">
      <c r="A271" s="6" t="s">
        <v>269</v>
      </c>
      <c r="B271" s="5" t="str">
        <f t="shared" si="4"/>
        <v>海野智也</v>
      </c>
    </row>
    <row r="272" spans="1:2" ht="14.25">
      <c r="A272" s="6" t="s">
        <v>270</v>
      </c>
      <c r="B272" s="5" t="str">
        <f t="shared" si="4"/>
        <v>三桥太朗</v>
      </c>
    </row>
    <row r="273" spans="1:2" ht="14.25">
      <c r="A273" s="6" t="s">
        <v>271</v>
      </c>
      <c r="B273" s="5" t="str">
        <f t="shared" si="4"/>
        <v>杉山柊</v>
      </c>
    </row>
    <row r="274" spans="1:2" ht="14.25">
      <c r="A274" s="6" t="s">
        <v>272</v>
      </c>
      <c r="B274" s="5" t="str">
        <f t="shared" si="4"/>
        <v>松平然</v>
      </c>
    </row>
    <row r="275" spans="1:2" ht="14.25">
      <c r="A275" s="6" t="s">
        <v>273</v>
      </c>
      <c r="B275" s="5" t="str">
        <f t="shared" si="4"/>
        <v>沢井竜之介</v>
      </c>
    </row>
    <row r="276" spans="1:2" ht="14.25">
      <c r="A276" s="6" t="s">
        <v>274</v>
      </c>
      <c r="B276" s="5" t="str">
        <f t="shared" si="4"/>
        <v>金城晴斗</v>
      </c>
    </row>
    <row r="277" spans="1:2" ht="14.25">
      <c r="A277" s="6" t="s">
        <v>275</v>
      </c>
      <c r="B277" s="5" t="str">
        <f t="shared" si="4"/>
        <v>小池宏树</v>
      </c>
    </row>
    <row r="278" spans="1:2" ht="14.25">
      <c r="A278" s="6" t="s">
        <v>276</v>
      </c>
      <c r="B278" s="5" t="str">
        <f t="shared" si="4"/>
        <v>河野优翔</v>
      </c>
    </row>
    <row r="279" spans="1:2" ht="14.25">
      <c r="A279" s="6" t="s">
        <v>277</v>
      </c>
      <c r="B279" s="5" t="str">
        <f t="shared" si="4"/>
        <v>岩村结</v>
      </c>
    </row>
    <row r="280" spans="1:2" ht="14.25">
      <c r="A280" s="6" t="s">
        <v>278</v>
      </c>
      <c r="B280" s="5" t="str">
        <f t="shared" si="4"/>
        <v>冈本豪</v>
      </c>
    </row>
    <row r="281" spans="1:2" ht="14.25">
      <c r="A281" s="6" t="s">
        <v>279</v>
      </c>
      <c r="B281" s="5" t="str">
        <f t="shared" si="4"/>
        <v>小野晃生</v>
      </c>
    </row>
    <row r="282" spans="1:2" ht="14.25">
      <c r="A282" s="6" t="s">
        <v>280</v>
      </c>
      <c r="B282" s="5" t="str">
        <f t="shared" si="4"/>
        <v>田岛贵文</v>
      </c>
    </row>
    <row r="283" spans="1:2" ht="14.25">
      <c r="A283" s="6" t="s">
        <v>281</v>
      </c>
      <c r="B283" s="5" t="str">
        <f t="shared" si="4"/>
        <v>本间苍空</v>
      </c>
    </row>
    <row r="284" spans="1:2" ht="14.25">
      <c r="A284" s="6" t="s">
        <v>282</v>
      </c>
      <c r="B284" s="5" t="str">
        <f t="shared" si="4"/>
        <v>保田遥大</v>
      </c>
    </row>
    <row r="285" spans="1:2" ht="14.25">
      <c r="A285" s="6" t="s">
        <v>283</v>
      </c>
      <c r="B285" s="5" t="str">
        <f t="shared" si="4"/>
        <v>堀越颯马</v>
      </c>
    </row>
    <row r="286" spans="1:2" ht="14.25">
      <c r="A286" s="6" t="s">
        <v>284</v>
      </c>
      <c r="B286" s="5" t="str">
        <f t="shared" si="4"/>
        <v>横井胜</v>
      </c>
    </row>
    <row r="287" spans="1:2" ht="14.25">
      <c r="A287" s="6" t="s">
        <v>285</v>
      </c>
      <c r="B287" s="5" t="str">
        <f t="shared" si="4"/>
        <v>広瀬大斗</v>
      </c>
    </row>
    <row r="288" spans="1:2" ht="14.25">
      <c r="A288" s="6" t="s">
        <v>286</v>
      </c>
      <c r="B288" s="5" t="str">
        <f t="shared" si="4"/>
        <v>下村阳人</v>
      </c>
    </row>
    <row r="289" spans="1:4" ht="14.25">
      <c r="A289" s="6" t="s">
        <v>287</v>
      </c>
      <c r="B289" s="5" t="str">
        <f t="shared" si="4"/>
        <v>瀬戸苍马</v>
      </c>
    </row>
    <row r="290" spans="1:4" ht="14.25">
      <c r="A290" s="6" t="s">
        <v>288</v>
      </c>
      <c r="B290" s="5" t="str">
        <f t="shared" si="4"/>
        <v>吉崎和真</v>
      </c>
    </row>
    <row r="291" spans="1:4" ht="14.25">
      <c r="A291" s="6" t="s">
        <v>289</v>
      </c>
      <c r="B291" s="5" t="str">
        <f t="shared" si="4"/>
        <v>长瀬康太</v>
      </c>
    </row>
    <row r="292" spans="1:4" ht="14.25">
      <c r="A292" s="6" t="s">
        <v>290</v>
      </c>
      <c r="B292" s="5" t="str">
        <f t="shared" si="4"/>
        <v>野村敬太</v>
      </c>
    </row>
    <row r="293" spans="1:4" ht="14.25">
      <c r="A293" s="6" t="s">
        <v>291</v>
      </c>
      <c r="B293" s="5" t="str">
        <f t="shared" si="4"/>
        <v>深田力</v>
      </c>
    </row>
    <row r="294" spans="1:4" ht="14.25">
      <c r="A294" s="6" t="s">
        <v>292</v>
      </c>
      <c r="B294" s="5" t="str">
        <f t="shared" si="4"/>
        <v>大江凉太</v>
      </c>
    </row>
    <row r="295" spans="1:4" ht="14.25">
      <c r="A295" s="6" t="s">
        <v>293</v>
      </c>
      <c r="B295" s="5" t="str">
        <f t="shared" si="4"/>
        <v>富沢秀真</v>
      </c>
    </row>
    <row r="296" spans="1:4" ht="14.25">
      <c r="A296" s="6" t="s">
        <v>294</v>
      </c>
      <c r="B296" s="5" t="str">
        <f t="shared" si="4"/>
        <v>宫川隆</v>
      </c>
    </row>
    <row r="297" spans="1:4" ht="14.25">
      <c r="A297" s="6" t="s">
        <v>295</v>
      </c>
      <c r="B297" s="5" t="str">
        <f t="shared" si="4"/>
        <v>土屋歩</v>
      </c>
    </row>
    <row r="298" spans="1:4" ht="14.25">
      <c r="A298" s="6" t="s">
        <v>296</v>
      </c>
      <c r="B298" s="5" t="str">
        <f t="shared" si="4"/>
        <v>川合雅人</v>
      </c>
    </row>
    <row r="299" spans="1:4" ht="14.25">
      <c r="A299" s="6" t="s">
        <v>297</v>
      </c>
      <c r="B299" s="5" t="str">
        <f t="shared" si="4"/>
        <v>新井裕也</v>
      </c>
    </row>
    <row r="300" spans="1:4" ht="14.25">
      <c r="A300" s="6" t="s">
        <v>298</v>
      </c>
      <c r="B300" s="5" t="str">
        <f t="shared" si="4"/>
        <v>荒木葵</v>
      </c>
      <c r="D300" s="4"/>
    </row>
    <row r="301" spans="1:4">
      <c r="A301" s="5" t="s">
        <v>299</v>
      </c>
      <c r="B301" s="5" t="str">
        <f t="shared" si="4"/>
        <v>毛利和香子</v>
      </c>
      <c r="D301" s="4"/>
    </row>
    <row r="302" spans="1:4">
      <c r="A302" s="5" t="s">
        <v>300</v>
      </c>
      <c r="B302" s="5" t="str">
        <f t="shared" si="4"/>
        <v>大林郁江</v>
      </c>
      <c r="D302" s="4"/>
    </row>
    <row r="303" spans="1:4">
      <c r="A303" s="5" t="s">
        <v>301</v>
      </c>
      <c r="B303" s="5" t="str">
        <f t="shared" si="4"/>
        <v>野沢有子</v>
      </c>
      <c r="D303" s="4"/>
    </row>
    <row r="304" spans="1:4">
      <c r="A304" s="5" t="s">
        <v>302</v>
      </c>
      <c r="B304" s="5" t="str">
        <f t="shared" si="4"/>
        <v>下田育恵</v>
      </c>
      <c r="D304" s="4"/>
    </row>
    <row r="305" spans="1:4">
      <c r="A305" s="5" t="s">
        <v>303</v>
      </c>
      <c r="B305" s="5" t="str">
        <f t="shared" si="4"/>
        <v>青柳雅子</v>
      </c>
      <c r="D305" s="4"/>
    </row>
    <row r="306" spans="1:4">
      <c r="A306" s="5" t="s">
        <v>304</v>
      </c>
      <c r="B306" s="5" t="str">
        <f t="shared" si="4"/>
        <v>正木冬美</v>
      </c>
      <c r="D306" s="4"/>
    </row>
    <row r="307" spans="1:4">
      <c r="A307" s="5" t="s">
        <v>305</v>
      </c>
      <c r="B307" s="5" t="str">
        <f t="shared" si="4"/>
        <v>茂木郁江</v>
      </c>
      <c r="D307" s="4"/>
    </row>
    <row r="308" spans="1:4">
      <c r="A308" s="5" t="s">
        <v>306</v>
      </c>
      <c r="B308" s="5" t="str">
        <f t="shared" si="4"/>
        <v>赤松裕纪</v>
      </c>
      <c r="D308" s="4"/>
    </row>
    <row r="309" spans="1:4">
      <c r="A309" s="5" t="s">
        <v>307</v>
      </c>
      <c r="B309" s="5" t="str">
        <f t="shared" si="4"/>
        <v>藤沢尚子</v>
      </c>
      <c r="D309" s="4"/>
    </row>
    <row r="310" spans="1:4">
      <c r="A310" s="5" t="s">
        <v>308</v>
      </c>
      <c r="B310" s="5" t="str">
        <f t="shared" si="4"/>
        <v>小原奈绪子</v>
      </c>
      <c r="D310" s="4"/>
    </row>
    <row r="311" spans="1:4">
      <c r="A311" s="5" t="s">
        <v>309</v>
      </c>
      <c r="B311" s="5" t="str">
        <f t="shared" si="4"/>
        <v>加纳并恵</v>
      </c>
      <c r="D311" s="4"/>
    </row>
    <row r="312" spans="1:4">
      <c r="A312" s="5" t="s">
        <v>310</v>
      </c>
      <c r="B312" s="5" t="str">
        <f t="shared" si="4"/>
        <v>新田真纱子</v>
      </c>
      <c r="D312" s="4"/>
    </row>
    <row r="313" spans="1:4">
      <c r="A313" s="5" t="s">
        <v>311</v>
      </c>
      <c r="B313" s="5" t="str">
        <f t="shared" si="4"/>
        <v>山本久恵</v>
      </c>
      <c r="D313" s="4"/>
    </row>
    <row r="314" spans="1:4">
      <c r="A314" s="5" t="s">
        <v>312</v>
      </c>
      <c r="B314" s="5" t="str">
        <f t="shared" si="4"/>
        <v>曽根真纯</v>
      </c>
      <c r="D314" s="4"/>
    </row>
    <row r="315" spans="1:4">
      <c r="A315" s="5" t="s">
        <v>313</v>
      </c>
      <c r="B315" s="5" t="str">
        <f t="shared" si="4"/>
        <v>斎藤雪絵</v>
      </c>
      <c r="D315" s="4"/>
    </row>
    <row r="316" spans="1:4">
      <c r="A316" s="5" t="s">
        <v>314</v>
      </c>
      <c r="B316" s="5" t="str">
        <f t="shared" si="4"/>
        <v>柳川広美</v>
      </c>
      <c r="D316" s="4"/>
    </row>
    <row r="317" spans="1:4">
      <c r="A317" s="5" t="s">
        <v>315</v>
      </c>
      <c r="B317" s="5" t="str">
        <f t="shared" si="4"/>
        <v>坂田真由美</v>
      </c>
      <c r="D317" s="4"/>
    </row>
    <row r="318" spans="1:4">
      <c r="A318" s="5" t="s">
        <v>316</v>
      </c>
      <c r="B318" s="5" t="str">
        <f t="shared" si="4"/>
        <v>白鸟友絵</v>
      </c>
      <c r="D318" s="4"/>
    </row>
    <row r="319" spans="1:4">
      <c r="A319" s="5" t="s">
        <v>317</v>
      </c>
      <c r="B319" s="5" t="str">
        <f t="shared" si="4"/>
        <v>加藤里佳</v>
      </c>
      <c r="D319" s="4"/>
    </row>
    <row r="320" spans="1:4">
      <c r="A320" s="5" t="s">
        <v>318</v>
      </c>
      <c r="B320" s="5" t="str">
        <f t="shared" si="4"/>
        <v>竹下歳子</v>
      </c>
      <c r="D320" s="4"/>
    </row>
    <row r="321" spans="1:4">
      <c r="A321" s="5" t="s">
        <v>319</v>
      </c>
      <c r="B321" s="5" t="str">
        <f t="shared" si="4"/>
        <v>三村幸</v>
      </c>
      <c r="D321" s="4"/>
    </row>
    <row r="322" spans="1:4">
      <c r="A322" s="5" t="s">
        <v>320</v>
      </c>
      <c r="B322" s="5" t="str">
        <f t="shared" ref="B322:B385" si="5">LEFT(A322,7)</f>
        <v>松井舞</v>
      </c>
      <c r="D322" s="4"/>
    </row>
    <row r="323" spans="1:4">
      <c r="A323" s="5" t="s">
        <v>321</v>
      </c>
      <c r="B323" s="5" t="str">
        <f t="shared" si="5"/>
        <v>园田友江</v>
      </c>
      <c r="D323" s="4"/>
    </row>
    <row r="324" spans="1:4">
      <c r="A324" s="5" t="s">
        <v>322</v>
      </c>
      <c r="B324" s="5" t="str">
        <f t="shared" si="5"/>
        <v>中里奈绪</v>
      </c>
      <c r="D324" s="4"/>
    </row>
    <row r="325" spans="1:4">
      <c r="A325" s="5" t="s">
        <v>323</v>
      </c>
      <c r="B325" s="5" t="str">
        <f t="shared" si="5"/>
        <v>臼井理奈</v>
      </c>
      <c r="D325" s="4"/>
    </row>
    <row r="326" spans="1:4">
      <c r="A326" s="5" t="s">
        <v>324</v>
      </c>
      <c r="B326" s="5" t="str">
        <f t="shared" si="5"/>
        <v>宫岛公美子</v>
      </c>
      <c r="D326" s="4"/>
    </row>
    <row r="327" spans="1:4">
      <c r="A327" s="5" t="s">
        <v>325</v>
      </c>
      <c r="B327" s="5" t="str">
        <f t="shared" si="5"/>
        <v>赤松丽嘉</v>
      </c>
      <c r="D327" s="4"/>
    </row>
    <row r="328" spans="1:4">
      <c r="A328" s="5" t="s">
        <v>326</v>
      </c>
      <c r="B328" s="5" t="str">
        <f t="shared" si="5"/>
        <v>秦沙都子</v>
      </c>
      <c r="D328" s="4"/>
    </row>
    <row r="329" spans="1:4">
      <c r="A329" s="5" t="s">
        <v>327</v>
      </c>
      <c r="B329" s="5" t="str">
        <f t="shared" si="5"/>
        <v>长谷川</v>
      </c>
      <c r="D329" s="4"/>
    </row>
    <row r="330" spans="1:4">
      <c r="A330" s="5" t="s">
        <v>328</v>
      </c>
      <c r="B330" s="5" t="str">
        <f t="shared" si="5"/>
        <v>小栗百恵</v>
      </c>
      <c r="D330" s="4"/>
    </row>
    <row r="331" spans="1:4">
      <c r="A331" s="5" t="s">
        <v>329</v>
      </c>
      <c r="B331" s="5" t="str">
        <f t="shared" si="5"/>
        <v>坂田真子</v>
      </c>
      <c r="D331" s="4"/>
    </row>
    <row r="332" spans="1:4">
      <c r="A332" s="5" t="s">
        <v>330</v>
      </c>
      <c r="B332" s="5" t="str">
        <f t="shared" si="5"/>
        <v>神崎绫</v>
      </c>
      <c r="D332" s="4"/>
    </row>
    <row r="333" spans="1:4">
      <c r="A333" s="5" t="s">
        <v>331</v>
      </c>
      <c r="B333" s="5" t="str">
        <f t="shared" si="5"/>
        <v>国井未央</v>
      </c>
      <c r="D333" s="4"/>
    </row>
    <row r="334" spans="1:4">
      <c r="A334" s="5" t="s">
        <v>332</v>
      </c>
      <c r="B334" s="5" t="str">
        <f t="shared" si="5"/>
        <v>门胁経子哲子</v>
      </c>
      <c r="D334" s="4"/>
    </row>
    <row r="335" spans="1:4">
      <c r="A335" s="5" t="s">
        <v>333</v>
      </c>
      <c r="B335" s="5" t="str">
        <f t="shared" si="5"/>
        <v>山路睦子</v>
      </c>
      <c r="D335" s="4"/>
    </row>
    <row r="336" spans="1:4">
      <c r="A336" s="5" t="s">
        <v>334</v>
      </c>
      <c r="B336" s="5" t="str">
        <f t="shared" si="5"/>
        <v>森冈美纱绪</v>
      </c>
      <c r="D336" s="4"/>
    </row>
    <row r="337" spans="1:4">
      <c r="A337" s="5" t="s">
        <v>335</v>
      </c>
      <c r="B337" s="5" t="str">
        <f t="shared" si="5"/>
        <v>土屋茜</v>
      </c>
      <c r="D337" s="4"/>
    </row>
    <row r="338" spans="1:4">
      <c r="A338" s="5" t="s">
        <v>336</v>
      </c>
      <c r="B338" s="5" t="str">
        <f t="shared" si="5"/>
        <v>斉藤岬</v>
      </c>
      <c r="D338" s="4"/>
    </row>
    <row r="339" spans="1:4">
      <c r="A339" s="5" t="s">
        <v>337</v>
      </c>
      <c r="B339" s="5" t="str">
        <f t="shared" si="5"/>
        <v>细井逸美</v>
      </c>
      <c r="D339" s="4"/>
    </row>
    <row r="340" spans="1:4">
      <c r="A340" s="5" t="s">
        <v>338</v>
      </c>
      <c r="B340" s="5" t="str">
        <f t="shared" si="5"/>
        <v>夏目新名</v>
      </c>
      <c r="D340" s="4"/>
    </row>
    <row r="341" spans="1:4">
      <c r="A341" s="5" t="s">
        <v>339</v>
      </c>
      <c r="B341" s="5" t="str">
        <f t="shared" si="5"/>
        <v>须贺稚子</v>
      </c>
      <c r="D341" s="4"/>
    </row>
    <row r="342" spans="1:4">
      <c r="A342" s="5" t="s">
        <v>340</v>
      </c>
      <c r="B342" s="5" t="str">
        <f t="shared" si="5"/>
        <v>本郷美香子</v>
      </c>
      <c r="D342" s="4"/>
    </row>
    <row r="343" spans="1:4">
      <c r="A343" s="5" t="s">
        <v>341</v>
      </c>
      <c r="B343" s="5" t="str">
        <f t="shared" si="5"/>
        <v>赤尾絵凛</v>
      </c>
      <c r="D343" s="4"/>
    </row>
    <row r="344" spans="1:4">
      <c r="A344" s="5" t="s">
        <v>342</v>
      </c>
      <c r="B344" s="5" t="str">
        <f t="shared" si="5"/>
        <v>嵐亜纪子</v>
      </c>
      <c r="D344" s="4"/>
    </row>
    <row r="345" spans="1:4">
      <c r="A345" s="5" t="s">
        <v>343</v>
      </c>
      <c r="B345" s="5" t="str">
        <f t="shared" si="5"/>
        <v>根本裕纪</v>
      </c>
      <c r="D345" s="4"/>
    </row>
    <row r="346" spans="1:4">
      <c r="A346" s="5" t="s">
        <v>344</v>
      </c>
      <c r="B346" s="5" t="str">
        <f t="shared" si="5"/>
        <v>中林铃子</v>
      </c>
      <c r="D346" s="4"/>
    </row>
    <row r="347" spans="1:4">
      <c r="A347" s="5" t="s">
        <v>345</v>
      </c>
      <c r="B347" s="5" t="str">
        <f t="shared" si="5"/>
        <v>浅井隆子</v>
      </c>
      <c r="D347" s="4"/>
    </row>
    <row r="348" spans="1:4">
      <c r="A348" s="5" t="s">
        <v>346</v>
      </c>
      <c r="B348" s="5" t="str">
        <f t="shared" si="5"/>
        <v>东歳子</v>
      </c>
      <c r="D348" s="4"/>
    </row>
    <row r="349" spans="1:4">
      <c r="A349" s="5" t="s">
        <v>347</v>
      </c>
      <c r="B349" s="5" t="str">
        <f t="shared" si="5"/>
        <v>藤木永子</v>
      </c>
      <c r="D349" s="4"/>
    </row>
    <row r="350" spans="1:4">
      <c r="A350" s="5" t="s">
        <v>348</v>
      </c>
      <c r="B350" s="5" t="str">
        <f t="shared" si="5"/>
        <v>草野智</v>
      </c>
      <c r="D350" s="4"/>
    </row>
    <row r="351" spans="1:4">
      <c r="A351" s="5" t="s">
        <v>349</v>
      </c>
      <c r="B351" s="5" t="str">
        <f t="shared" si="5"/>
        <v>神崎千秋</v>
      </c>
      <c r="D351" s="4"/>
    </row>
    <row r="352" spans="1:4">
      <c r="A352" s="5" t="s">
        <v>350</v>
      </c>
      <c r="B352" s="5" t="str">
        <f t="shared" si="5"/>
        <v>绪方彻子</v>
      </c>
      <c r="D352" s="4"/>
    </row>
    <row r="353" spans="1:4">
      <c r="A353" s="5" t="s">
        <v>351</v>
      </c>
      <c r="B353" s="5" t="str">
        <f t="shared" si="5"/>
        <v>北沢桃</v>
      </c>
      <c r="D353" s="4"/>
    </row>
    <row r="354" spans="1:4">
      <c r="A354" s="5" t="s">
        <v>352</v>
      </c>
      <c r="B354" s="5" t="str">
        <f t="shared" si="5"/>
        <v>池本香奈</v>
      </c>
      <c r="D354" s="4"/>
    </row>
    <row r="355" spans="1:4">
      <c r="A355" s="5" t="s">
        <v>353</v>
      </c>
      <c r="B355" s="5" t="str">
        <f t="shared" si="5"/>
        <v>高井千穂</v>
      </c>
      <c r="D355" s="4"/>
    </row>
    <row r="356" spans="1:4">
      <c r="A356" s="5" t="s">
        <v>354</v>
      </c>
      <c r="B356" s="5" t="str">
        <f t="shared" si="5"/>
        <v>永野真帆</v>
      </c>
      <c r="D356" s="4"/>
    </row>
    <row r="357" spans="1:4">
      <c r="A357" s="5" t="s">
        <v>355</v>
      </c>
      <c r="B357" s="5" t="str">
        <f t="shared" si="5"/>
        <v>平山纪江</v>
      </c>
      <c r="D357" s="4"/>
    </row>
    <row r="358" spans="1:4">
      <c r="A358" s="5" t="s">
        <v>356</v>
      </c>
      <c r="B358" s="5" t="str">
        <f t="shared" si="5"/>
        <v>越智顺子</v>
      </c>
      <c r="D358" s="4"/>
    </row>
    <row r="359" spans="1:4">
      <c r="A359" s="5" t="s">
        <v>357</v>
      </c>
      <c r="B359" s="5" t="str">
        <f t="shared" si="5"/>
        <v>柳川里佳</v>
      </c>
      <c r="D359" s="4"/>
    </row>
    <row r="360" spans="1:4">
      <c r="A360" s="5" t="s">
        <v>358</v>
      </c>
      <c r="B360" s="5" t="str">
        <f t="shared" si="5"/>
        <v>佐藤智子</v>
      </c>
      <c r="D360" s="4"/>
    </row>
    <row r="361" spans="1:4">
      <c r="A361" s="5" t="s">
        <v>359</v>
      </c>
      <c r="B361" s="5" t="str">
        <f t="shared" si="5"/>
        <v>吉田恵理</v>
      </c>
      <c r="D361" s="4"/>
    </row>
    <row r="362" spans="1:4">
      <c r="A362" s="5" t="s">
        <v>360</v>
      </c>
      <c r="B362" s="5" t="str">
        <f t="shared" si="5"/>
        <v>木本絵凛</v>
      </c>
      <c r="D362" s="4"/>
    </row>
    <row r="363" spans="1:4">
      <c r="A363" s="5" t="s">
        <v>361</v>
      </c>
      <c r="B363" s="5" t="str">
        <f t="shared" si="5"/>
        <v>池本千佳子</v>
      </c>
      <c r="D363" s="4"/>
    </row>
    <row r="364" spans="1:4">
      <c r="A364" s="5" t="s">
        <v>362</v>
      </c>
      <c r="B364" s="5" t="str">
        <f t="shared" si="5"/>
        <v>喜多真佐子</v>
      </c>
      <c r="D364" s="4"/>
    </row>
    <row r="365" spans="1:4">
      <c r="A365" s="5" t="s">
        <v>363</v>
      </c>
      <c r="B365" s="5" t="str">
        <f t="shared" si="5"/>
        <v>高崎加南</v>
      </c>
      <c r="D365" s="4"/>
    </row>
    <row r="366" spans="1:4">
      <c r="A366" s="5" t="s">
        <v>364</v>
      </c>
      <c r="B366" s="5" t="str">
        <f t="shared" si="5"/>
        <v>乾亜希子</v>
      </c>
      <c r="D366" s="4"/>
    </row>
    <row r="367" spans="1:4">
      <c r="A367" s="5" t="s">
        <v>365</v>
      </c>
      <c r="B367" s="5" t="str">
        <f t="shared" si="5"/>
        <v>大森珪</v>
      </c>
      <c r="D367" s="4"/>
    </row>
    <row r="368" spans="1:4">
      <c r="A368" s="5" t="s">
        <v>366</v>
      </c>
      <c r="B368" s="5" t="str">
        <f t="shared" si="5"/>
        <v>小山佐和子</v>
      </c>
      <c r="D368" s="4"/>
    </row>
    <row r="369" spans="1:4">
      <c r="A369" s="5" t="s">
        <v>367</v>
      </c>
      <c r="B369" s="5" t="str">
        <f t="shared" si="5"/>
        <v>佐々木理穂</v>
      </c>
      <c r="D369" s="4"/>
    </row>
    <row r="370" spans="1:4">
      <c r="A370" s="5" t="s">
        <v>368</v>
      </c>
      <c r="B370" s="5" t="str">
        <f t="shared" si="5"/>
        <v>広瀬美夏</v>
      </c>
      <c r="D370" s="4"/>
    </row>
    <row r="371" spans="1:4">
      <c r="A371" s="5" t="s">
        <v>369</v>
      </c>
      <c r="B371" s="5" t="str">
        <f t="shared" si="5"/>
        <v>泉欣子</v>
      </c>
      <c r="D371" s="4"/>
    </row>
    <row r="372" spans="1:4">
      <c r="A372" s="5" t="s">
        <v>370</v>
      </c>
      <c r="B372" s="5" t="str">
        <f t="shared" si="5"/>
        <v>福山喜恵子</v>
      </c>
      <c r="D372" s="4"/>
    </row>
    <row r="373" spans="1:4">
      <c r="A373" s="5" t="s">
        <v>371</v>
      </c>
      <c r="B373" s="5" t="str">
        <f t="shared" si="5"/>
        <v>山下栄美</v>
      </c>
      <c r="D373" s="4"/>
    </row>
    <row r="374" spans="1:4">
      <c r="A374" s="5" t="s">
        <v>372</v>
      </c>
      <c r="B374" s="5" t="str">
        <f t="shared" si="5"/>
        <v>川原真树</v>
      </c>
      <c r="D374" s="4"/>
    </row>
    <row r="375" spans="1:4">
      <c r="A375" s="5" t="s">
        <v>373</v>
      </c>
      <c r="B375" s="5" t="str">
        <f t="shared" si="5"/>
        <v>相马宜子</v>
      </c>
      <c r="D375" s="4"/>
    </row>
    <row r="376" spans="1:4">
      <c r="A376" s="5" t="s">
        <v>374</v>
      </c>
      <c r="B376" s="5" t="str">
        <f t="shared" si="5"/>
        <v>藤沢真奈美</v>
      </c>
      <c r="D376" s="4"/>
    </row>
    <row r="377" spans="1:4">
      <c r="A377" s="5" t="s">
        <v>375</v>
      </c>
      <c r="B377" s="5" t="str">
        <f t="shared" si="5"/>
        <v>三谷麻理</v>
      </c>
      <c r="D377" s="4"/>
    </row>
    <row r="378" spans="1:4">
      <c r="A378" s="5" t="s">
        <v>376</v>
      </c>
      <c r="B378" s="5" t="str">
        <f t="shared" si="5"/>
        <v>泉泉美</v>
      </c>
      <c r="D378" s="4"/>
    </row>
    <row r="379" spans="1:4">
      <c r="A379" s="5" t="s">
        <v>377</v>
      </c>
      <c r="B379" s="5" t="str">
        <f t="shared" si="5"/>
        <v>山内恵理</v>
      </c>
      <c r="D379" s="4"/>
    </row>
    <row r="380" spans="1:4">
      <c r="A380" s="5" t="s">
        <v>378</v>
      </c>
      <c r="B380" s="5" t="str">
        <f t="shared" si="5"/>
        <v>小平直美</v>
      </c>
      <c r="D380" s="4"/>
    </row>
    <row r="381" spans="1:4">
      <c r="A381" s="5" t="s">
        <v>379</v>
      </c>
      <c r="B381" s="5" t="str">
        <f t="shared" si="5"/>
        <v>稲村加奈子</v>
      </c>
      <c r="D381" s="4"/>
    </row>
    <row r="382" spans="1:4">
      <c r="A382" s="5" t="s">
        <v>380</v>
      </c>
      <c r="B382" s="5" t="str">
        <f t="shared" si="5"/>
        <v>塩见苑子</v>
      </c>
      <c r="D382" s="4"/>
    </row>
    <row r="383" spans="1:4">
      <c r="A383" s="5" t="s">
        <v>381</v>
      </c>
      <c r="B383" s="5" t="str">
        <f t="shared" si="5"/>
        <v>八木美佳</v>
      </c>
      <c r="D383" s="4"/>
    </row>
    <row r="384" spans="1:4">
      <c r="A384" s="5" t="s">
        <v>382</v>
      </c>
      <c r="B384" s="5" t="str">
        <f t="shared" si="5"/>
        <v>松川慧子</v>
      </c>
      <c r="D384" s="4"/>
    </row>
    <row r="385" spans="1:9">
      <c r="A385" s="5" t="s">
        <v>383</v>
      </c>
      <c r="B385" s="5" t="str">
        <f t="shared" si="5"/>
        <v>下川摩耶</v>
      </c>
      <c r="D385" s="4"/>
    </row>
    <row r="386" spans="1:9">
      <c r="A386" s="5" t="s">
        <v>384</v>
      </c>
      <c r="B386" s="5" t="str">
        <f t="shared" ref="B386:B449" si="6">LEFT(A386,7)</f>
        <v>井田智</v>
      </c>
      <c r="D386" s="4"/>
    </row>
    <row r="387" spans="1:9">
      <c r="A387" s="5" t="s">
        <v>385</v>
      </c>
      <c r="B387" s="5" t="str">
        <f t="shared" si="6"/>
        <v>平野喜久江</v>
      </c>
      <c r="D387" s="4"/>
    </row>
    <row r="388" spans="1:9">
      <c r="A388" s="5" t="s">
        <v>386</v>
      </c>
      <c r="B388" s="5" t="str">
        <f t="shared" si="6"/>
        <v>平沢桃</v>
      </c>
      <c r="D388" s="4"/>
    </row>
    <row r="389" spans="1:9">
      <c r="A389" s="5" t="s">
        <v>387</v>
      </c>
      <c r="B389" s="5" t="str">
        <f t="shared" si="6"/>
        <v>平塚铃奈</v>
      </c>
      <c r="D389" s="4"/>
    </row>
    <row r="390" spans="1:9">
      <c r="A390" s="5" t="s">
        <v>388</v>
      </c>
      <c r="B390" s="5" t="str">
        <f t="shared" si="6"/>
        <v>田坂佐波</v>
      </c>
      <c r="D390" s="4"/>
    </row>
    <row r="391" spans="1:9">
      <c r="A391" s="5" t="s">
        <v>389</v>
      </c>
      <c r="B391" s="5" t="str">
        <f t="shared" si="6"/>
        <v>荻野辰美</v>
      </c>
      <c r="D391" s="4"/>
    </row>
    <row r="392" spans="1:9">
      <c r="A392" s="5" t="s">
        <v>390</v>
      </c>
      <c r="B392" s="5" t="str">
        <f t="shared" si="6"/>
        <v>藤田文恵</v>
      </c>
      <c r="D392" s="4"/>
    </row>
    <row r="393" spans="1:9">
      <c r="A393" s="5" t="s">
        <v>391</v>
      </c>
      <c r="B393" s="5" t="str">
        <f t="shared" si="6"/>
        <v>千田记子</v>
      </c>
      <c r="D393" s="4"/>
    </row>
    <row r="394" spans="1:9">
      <c r="A394" s="5" t="s">
        <v>392</v>
      </c>
      <c r="B394" s="5" t="str">
        <f t="shared" si="6"/>
        <v>香川真纱子</v>
      </c>
      <c r="D394" s="4"/>
    </row>
    <row r="395" spans="1:9">
      <c r="A395" s="5" t="s">
        <v>393</v>
      </c>
      <c r="B395" s="5" t="str">
        <f t="shared" si="6"/>
        <v>山胁安</v>
      </c>
      <c r="D395" s="4"/>
    </row>
    <row r="396" spans="1:9">
      <c r="A396" s="5" t="s">
        <v>394</v>
      </c>
      <c r="B396" s="5" t="str">
        <f t="shared" si="6"/>
        <v>三沢未央</v>
      </c>
      <c r="D396" s="4"/>
    </row>
    <row r="397" spans="1:9">
      <c r="A397" s="5" t="s">
        <v>395</v>
      </c>
      <c r="B397" s="5" t="str">
        <f t="shared" si="6"/>
        <v>相沢叶子</v>
      </c>
      <c r="D397" s="4"/>
    </row>
    <row r="398" spans="1:9">
      <c r="A398" s="5" t="s">
        <v>396</v>
      </c>
      <c r="B398" s="5" t="str">
        <f t="shared" si="6"/>
        <v>椿浄子</v>
      </c>
      <c r="D398" s="4"/>
    </row>
    <row r="399" spans="1:9">
      <c r="A399" s="5" t="s">
        <v>397</v>
      </c>
      <c r="B399" s="5" t="str">
        <f t="shared" si="6"/>
        <v>坂上多津子</v>
      </c>
      <c r="D399" s="4"/>
    </row>
    <row r="400" spans="1:9">
      <c r="A400" s="5" t="s">
        <v>425</v>
      </c>
      <c r="B400" s="5" t="str">
        <f t="shared" si="6"/>
        <v>盛世·狂人</v>
      </c>
      <c r="D400" s="4" t="s">
        <v>405</v>
      </c>
      <c r="E400" s="8" t="s">
        <v>398</v>
      </c>
      <c r="F400" s="8">
        <v>1</v>
      </c>
      <c r="G400" s="5">
        <f>QUOTIENT(F400-1,19)+1</f>
        <v>1</v>
      </c>
      <c r="H400" s="5">
        <f>MOD(F400-1,19)+1</f>
        <v>1</v>
      </c>
      <c r="I400" s="5" t="str">
        <f>INDEX($D$400:$D$407,G400,,1)&amp;INDEX($E$400:$E$418,H400,,1)</f>
        <v>盛世·狂人</v>
      </c>
    </row>
    <row r="401" spans="1:9">
      <c r="A401" s="5" t="s">
        <v>426</v>
      </c>
      <c r="B401" s="5" t="str">
        <f t="shared" si="6"/>
        <v>盛世·魍魉</v>
      </c>
      <c r="D401" s="8" t="s">
        <v>406</v>
      </c>
      <c r="E401" s="8" t="s">
        <v>399</v>
      </c>
      <c r="F401" s="8">
        <v>2</v>
      </c>
      <c r="G401" s="5">
        <f t="shared" ref="G401:G464" si="7">QUOTIENT(F401-1,19)+1</f>
        <v>1</v>
      </c>
      <c r="H401" s="5">
        <f t="shared" ref="H401:H430" si="8">MOD(F401-1,19)+1</f>
        <v>2</v>
      </c>
      <c r="I401" s="5" t="str">
        <f t="shared" ref="I401:I464" si="9">INDEX($D$400:$D$407,G401,,1)&amp;INDEX($E$400:$E$418,H401,,1)</f>
        <v>盛世·魍魉</v>
      </c>
    </row>
    <row r="402" spans="1:9">
      <c r="A402" s="5" t="s">
        <v>427</v>
      </c>
      <c r="B402" s="5" t="str">
        <f t="shared" si="6"/>
        <v>盛世·乖乖</v>
      </c>
      <c r="D402" s="8" t="s">
        <v>407</v>
      </c>
      <c r="E402" s="8" t="s">
        <v>400</v>
      </c>
      <c r="F402" s="8">
        <v>3</v>
      </c>
      <c r="G402" s="5">
        <f t="shared" si="7"/>
        <v>1</v>
      </c>
      <c r="H402" s="5">
        <f t="shared" si="8"/>
        <v>3</v>
      </c>
      <c r="I402" s="5" t="str">
        <f t="shared" si="9"/>
        <v>盛世·乖乖</v>
      </c>
    </row>
    <row r="403" spans="1:9">
      <c r="A403" s="5" t="s">
        <v>428</v>
      </c>
      <c r="B403" s="5" t="str">
        <f t="shared" si="6"/>
        <v>盛世·布丁</v>
      </c>
      <c r="D403" s="8" t="s">
        <v>414</v>
      </c>
      <c r="E403" s="8" t="s">
        <v>401</v>
      </c>
      <c r="F403" s="8">
        <v>4</v>
      </c>
      <c r="G403" s="5">
        <f t="shared" si="7"/>
        <v>1</v>
      </c>
      <c r="H403" s="5">
        <f t="shared" si="8"/>
        <v>4</v>
      </c>
      <c r="I403" s="5" t="str">
        <f t="shared" si="9"/>
        <v>盛世·布丁</v>
      </c>
    </row>
    <row r="404" spans="1:9">
      <c r="A404" s="5" t="s">
        <v>429</v>
      </c>
      <c r="B404" s="5" t="str">
        <f t="shared" si="6"/>
        <v>盛世·影子</v>
      </c>
      <c r="D404" s="8" t="s">
        <v>415</v>
      </c>
      <c r="E404" s="8" t="s">
        <v>402</v>
      </c>
      <c r="F404" s="8">
        <v>5</v>
      </c>
      <c r="G404" s="5">
        <f t="shared" si="7"/>
        <v>1</v>
      </c>
      <c r="H404" s="5">
        <f t="shared" si="8"/>
        <v>5</v>
      </c>
      <c r="I404" s="5" t="str">
        <f t="shared" si="9"/>
        <v>盛世·影子</v>
      </c>
    </row>
    <row r="405" spans="1:9">
      <c r="A405" s="5" t="s">
        <v>430</v>
      </c>
      <c r="B405" s="5" t="str">
        <f t="shared" si="6"/>
        <v>盛世·笨蛋</v>
      </c>
      <c r="D405" s="8" t="s">
        <v>416</v>
      </c>
      <c r="E405" s="8" t="s">
        <v>403</v>
      </c>
      <c r="F405" s="8">
        <v>6</v>
      </c>
      <c r="G405" s="5">
        <f t="shared" si="7"/>
        <v>1</v>
      </c>
      <c r="H405" s="5">
        <f t="shared" si="8"/>
        <v>6</v>
      </c>
      <c r="I405" s="5" t="str">
        <f t="shared" si="9"/>
        <v>盛世·笨蛋</v>
      </c>
    </row>
    <row r="406" spans="1:9">
      <c r="A406" s="5" t="s">
        <v>431</v>
      </c>
      <c r="B406" s="5" t="str">
        <f t="shared" si="6"/>
        <v>盛世·老王</v>
      </c>
      <c r="D406" s="8" t="s">
        <v>423</v>
      </c>
      <c r="E406" s="8" t="s">
        <v>404</v>
      </c>
      <c r="F406" s="8">
        <v>7</v>
      </c>
      <c r="G406" s="5">
        <f t="shared" si="7"/>
        <v>1</v>
      </c>
      <c r="H406" s="5">
        <f t="shared" si="8"/>
        <v>7</v>
      </c>
      <c r="I406" s="5" t="str">
        <f t="shared" si="9"/>
        <v>盛世·老王</v>
      </c>
    </row>
    <row r="407" spans="1:9">
      <c r="A407" s="5" t="s">
        <v>432</v>
      </c>
      <c r="B407" s="5" t="str">
        <f t="shared" si="6"/>
        <v>盛世·虫虫</v>
      </c>
      <c r="D407" s="8" t="s">
        <v>424</v>
      </c>
      <c r="E407" s="8" t="s">
        <v>408</v>
      </c>
      <c r="F407" s="8">
        <v>8</v>
      </c>
      <c r="G407" s="5">
        <f t="shared" si="7"/>
        <v>1</v>
      </c>
      <c r="H407" s="5">
        <f t="shared" si="8"/>
        <v>8</v>
      </c>
      <c r="I407" s="5" t="str">
        <f t="shared" si="9"/>
        <v>盛世·虫虫</v>
      </c>
    </row>
    <row r="408" spans="1:9">
      <c r="A408" s="5" t="s">
        <v>433</v>
      </c>
      <c r="B408" s="5" t="str">
        <f t="shared" si="6"/>
        <v>盛世·女神</v>
      </c>
      <c r="E408" s="8" t="s">
        <v>409</v>
      </c>
      <c r="F408" s="8">
        <v>9</v>
      </c>
      <c r="G408" s="5">
        <f t="shared" si="7"/>
        <v>1</v>
      </c>
      <c r="H408" s="5">
        <f t="shared" si="8"/>
        <v>9</v>
      </c>
      <c r="I408" s="5" t="str">
        <f t="shared" si="9"/>
        <v>盛世·女神</v>
      </c>
    </row>
    <row r="409" spans="1:9">
      <c r="A409" s="5" t="s">
        <v>434</v>
      </c>
      <c r="B409" s="5" t="str">
        <f t="shared" si="6"/>
        <v>盛世·屌丝</v>
      </c>
      <c r="E409" s="8" t="s">
        <v>410</v>
      </c>
      <c r="F409" s="8">
        <v>10</v>
      </c>
      <c r="G409" s="5">
        <f t="shared" si="7"/>
        <v>1</v>
      </c>
      <c r="H409" s="5">
        <f t="shared" si="8"/>
        <v>10</v>
      </c>
      <c r="I409" s="5" t="str">
        <f t="shared" si="9"/>
        <v>盛世·屌丝</v>
      </c>
    </row>
    <row r="410" spans="1:9">
      <c r="A410" s="5" t="s">
        <v>435</v>
      </c>
      <c r="B410" s="5" t="str">
        <f t="shared" si="6"/>
        <v>盛世·金</v>
      </c>
      <c r="E410" s="8" t="s">
        <v>411</v>
      </c>
      <c r="F410" s="8">
        <v>11</v>
      </c>
      <c r="G410" s="5">
        <f t="shared" si="7"/>
        <v>1</v>
      </c>
      <c r="H410" s="5">
        <f t="shared" si="8"/>
        <v>11</v>
      </c>
      <c r="I410" s="5" t="str">
        <f t="shared" si="9"/>
        <v>盛世·金</v>
      </c>
    </row>
    <row r="411" spans="1:9">
      <c r="A411" s="5" t="s">
        <v>436</v>
      </c>
      <c r="B411" s="5" t="str">
        <f t="shared" si="6"/>
        <v>盛世·特工</v>
      </c>
      <c r="E411" s="8" t="s">
        <v>412</v>
      </c>
      <c r="F411" s="8">
        <v>12</v>
      </c>
      <c r="G411" s="5">
        <f t="shared" si="7"/>
        <v>1</v>
      </c>
      <c r="H411" s="5">
        <f t="shared" si="8"/>
        <v>12</v>
      </c>
      <c r="I411" s="5" t="str">
        <f t="shared" si="9"/>
        <v>盛世·特工</v>
      </c>
    </row>
    <row r="412" spans="1:9">
      <c r="A412" s="5" t="s">
        <v>437</v>
      </c>
      <c r="B412" s="5" t="str">
        <f t="shared" si="6"/>
        <v>盛世·消防员</v>
      </c>
      <c r="E412" s="8" t="s">
        <v>413</v>
      </c>
      <c r="F412" s="8">
        <v>13</v>
      </c>
      <c r="G412" s="5">
        <f t="shared" si="7"/>
        <v>1</v>
      </c>
      <c r="H412" s="5">
        <f t="shared" si="8"/>
        <v>13</v>
      </c>
      <c r="I412" s="5" t="str">
        <f t="shared" si="9"/>
        <v>盛世·消防员</v>
      </c>
    </row>
    <row r="413" spans="1:9">
      <c r="A413" s="5" t="s">
        <v>438</v>
      </c>
      <c r="B413" s="5" t="str">
        <f t="shared" si="6"/>
        <v>盛世·冯</v>
      </c>
      <c r="E413" s="8" t="s">
        <v>417</v>
      </c>
      <c r="F413" s="8">
        <v>14</v>
      </c>
      <c r="G413" s="5">
        <f t="shared" si="7"/>
        <v>1</v>
      </c>
      <c r="H413" s="5">
        <f t="shared" si="8"/>
        <v>14</v>
      </c>
      <c r="I413" s="5" t="str">
        <f t="shared" si="9"/>
        <v>盛世·冯</v>
      </c>
    </row>
    <row r="414" spans="1:9">
      <c r="A414" s="5" t="s">
        <v>439</v>
      </c>
      <c r="B414" s="5" t="str">
        <f t="shared" si="6"/>
        <v>盛世·骑士</v>
      </c>
      <c r="E414" s="8" t="s">
        <v>418</v>
      </c>
      <c r="F414" s="8">
        <v>15</v>
      </c>
      <c r="G414" s="5">
        <f t="shared" si="7"/>
        <v>1</v>
      </c>
      <c r="H414" s="5">
        <f t="shared" si="8"/>
        <v>15</v>
      </c>
      <c r="I414" s="5" t="str">
        <f t="shared" si="9"/>
        <v>盛世·骑士</v>
      </c>
    </row>
    <row r="415" spans="1:9">
      <c r="A415" s="5" t="s">
        <v>440</v>
      </c>
      <c r="B415" s="5" t="str">
        <f t="shared" si="6"/>
        <v>盛世·龙骑士</v>
      </c>
      <c r="E415" s="8" t="s">
        <v>419</v>
      </c>
      <c r="F415" s="8">
        <v>16</v>
      </c>
      <c r="G415" s="5">
        <f t="shared" si="7"/>
        <v>1</v>
      </c>
      <c r="H415" s="5">
        <f t="shared" si="8"/>
        <v>16</v>
      </c>
      <c r="I415" s="5" t="str">
        <f t="shared" si="9"/>
        <v>盛世·龙骑士</v>
      </c>
    </row>
    <row r="416" spans="1:9">
      <c r="A416" s="5" t="s">
        <v>441</v>
      </c>
      <c r="B416" s="5" t="str">
        <f t="shared" si="6"/>
        <v>盛世·魔导师</v>
      </c>
      <c r="E416" s="8" t="s">
        <v>420</v>
      </c>
      <c r="F416" s="8">
        <v>17</v>
      </c>
      <c r="G416" s="5">
        <f t="shared" si="7"/>
        <v>1</v>
      </c>
      <c r="H416" s="5">
        <f t="shared" si="8"/>
        <v>17</v>
      </c>
      <c r="I416" s="5" t="str">
        <f t="shared" si="9"/>
        <v>盛世·魔导师</v>
      </c>
    </row>
    <row r="417" spans="1:9">
      <c r="A417" s="5" t="s">
        <v>442</v>
      </c>
      <c r="B417" s="5" t="str">
        <f t="shared" si="6"/>
        <v>盛世·星语者</v>
      </c>
      <c r="E417" s="8" t="s">
        <v>421</v>
      </c>
      <c r="F417" s="8">
        <v>18</v>
      </c>
      <c r="G417" s="5">
        <f t="shared" si="7"/>
        <v>1</v>
      </c>
      <c r="H417" s="5">
        <f t="shared" si="8"/>
        <v>18</v>
      </c>
      <c r="I417" s="5" t="str">
        <f t="shared" si="9"/>
        <v>盛世·星语者</v>
      </c>
    </row>
    <row r="418" spans="1:9">
      <c r="A418" s="5" t="s">
        <v>443</v>
      </c>
      <c r="B418" s="5" t="str">
        <f t="shared" si="6"/>
        <v>盛世·灵能者</v>
      </c>
      <c r="E418" s="8" t="s">
        <v>422</v>
      </c>
      <c r="F418" s="8">
        <v>19</v>
      </c>
      <c r="G418" s="5">
        <f t="shared" si="7"/>
        <v>1</v>
      </c>
      <c r="H418" s="5">
        <f t="shared" si="8"/>
        <v>19</v>
      </c>
      <c r="I418" s="5" t="str">
        <f t="shared" si="9"/>
        <v>盛世·灵能者</v>
      </c>
    </row>
    <row r="419" spans="1:9">
      <c r="A419" s="5" t="s">
        <v>444</v>
      </c>
      <c r="B419" s="5" t="str">
        <f t="shared" si="6"/>
        <v>皇族☆狂人</v>
      </c>
      <c r="F419" s="8">
        <v>20</v>
      </c>
      <c r="G419" s="5">
        <f t="shared" si="7"/>
        <v>2</v>
      </c>
      <c r="H419" s="5">
        <f t="shared" si="8"/>
        <v>1</v>
      </c>
      <c r="I419" s="5" t="str">
        <f t="shared" si="9"/>
        <v>皇族☆狂人</v>
      </c>
    </row>
    <row r="420" spans="1:9">
      <c r="A420" s="5" t="s">
        <v>445</v>
      </c>
      <c r="B420" s="5" t="str">
        <f t="shared" si="6"/>
        <v>皇族☆魍魉</v>
      </c>
      <c r="F420" s="8">
        <v>21</v>
      </c>
      <c r="G420" s="5">
        <f t="shared" si="7"/>
        <v>2</v>
      </c>
      <c r="H420" s="5">
        <f t="shared" si="8"/>
        <v>2</v>
      </c>
      <c r="I420" s="5" t="str">
        <f t="shared" si="9"/>
        <v>皇族☆魍魉</v>
      </c>
    </row>
    <row r="421" spans="1:9">
      <c r="A421" s="5" t="s">
        <v>446</v>
      </c>
      <c r="B421" s="5" t="str">
        <f t="shared" si="6"/>
        <v>皇族☆乖乖</v>
      </c>
      <c r="D421" s="5">
        <f>8*19</f>
        <v>152</v>
      </c>
      <c r="F421" s="8">
        <v>22</v>
      </c>
      <c r="G421" s="5">
        <f t="shared" si="7"/>
        <v>2</v>
      </c>
      <c r="H421" s="5">
        <f t="shared" si="8"/>
        <v>3</v>
      </c>
      <c r="I421" s="5" t="str">
        <f t="shared" si="9"/>
        <v>皇族☆乖乖</v>
      </c>
    </row>
    <row r="422" spans="1:9">
      <c r="A422" s="5" t="s">
        <v>447</v>
      </c>
      <c r="B422" s="5" t="str">
        <f t="shared" si="6"/>
        <v>皇族☆布丁</v>
      </c>
      <c r="F422" s="8">
        <v>23</v>
      </c>
      <c r="G422" s="5">
        <f t="shared" si="7"/>
        <v>2</v>
      </c>
      <c r="H422" s="5">
        <f t="shared" si="8"/>
        <v>4</v>
      </c>
      <c r="I422" s="5" t="str">
        <f t="shared" si="9"/>
        <v>皇族☆布丁</v>
      </c>
    </row>
    <row r="423" spans="1:9">
      <c r="A423" s="5" t="s">
        <v>448</v>
      </c>
      <c r="B423" s="5" t="str">
        <f t="shared" si="6"/>
        <v>皇族☆影子</v>
      </c>
      <c r="F423" s="8">
        <v>24</v>
      </c>
      <c r="G423" s="5">
        <f t="shared" si="7"/>
        <v>2</v>
      </c>
      <c r="H423" s="5">
        <f t="shared" si="8"/>
        <v>5</v>
      </c>
      <c r="I423" s="5" t="str">
        <f t="shared" si="9"/>
        <v>皇族☆影子</v>
      </c>
    </row>
    <row r="424" spans="1:9">
      <c r="A424" s="5" t="s">
        <v>449</v>
      </c>
      <c r="B424" s="5" t="str">
        <f t="shared" si="6"/>
        <v>皇族☆笨蛋</v>
      </c>
      <c r="F424" s="8">
        <v>25</v>
      </c>
      <c r="G424" s="5">
        <f t="shared" si="7"/>
        <v>2</v>
      </c>
      <c r="H424" s="5">
        <f t="shared" si="8"/>
        <v>6</v>
      </c>
      <c r="I424" s="5" t="str">
        <f t="shared" si="9"/>
        <v>皇族☆笨蛋</v>
      </c>
    </row>
    <row r="425" spans="1:9">
      <c r="A425" s="5" t="s">
        <v>450</v>
      </c>
      <c r="B425" s="5" t="str">
        <f t="shared" si="6"/>
        <v>皇族☆老王</v>
      </c>
      <c r="F425" s="8">
        <v>26</v>
      </c>
      <c r="G425" s="5">
        <f t="shared" si="7"/>
        <v>2</v>
      </c>
      <c r="H425" s="5">
        <f t="shared" si="8"/>
        <v>7</v>
      </c>
      <c r="I425" s="5" t="str">
        <f t="shared" si="9"/>
        <v>皇族☆老王</v>
      </c>
    </row>
    <row r="426" spans="1:9">
      <c r="A426" s="5" t="s">
        <v>451</v>
      </c>
      <c r="B426" s="5" t="str">
        <f t="shared" si="6"/>
        <v>皇族☆虫虫</v>
      </c>
      <c r="F426" s="8">
        <v>27</v>
      </c>
      <c r="G426" s="5">
        <f t="shared" si="7"/>
        <v>2</v>
      </c>
      <c r="H426" s="5">
        <f t="shared" si="8"/>
        <v>8</v>
      </c>
      <c r="I426" s="5" t="str">
        <f t="shared" si="9"/>
        <v>皇族☆虫虫</v>
      </c>
    </row>
    <row r="427" spans="1:9">
      <c r="A427" s="5" t="s">
        <v>452</v>
      </c>
      <c r="B427" s="5" t="str">
        <f t="shared" si="6"/>
        <v>皇族☆女神</v>
      </c>
      <c r="F427" s="8">
        <v>28</v>
      </c>
      <c r="G427" s="5">
        <f t="shared" si="7"/>
        <v>2</v>
      </c>
      <c r="H427" s="5">
        <f t="shared" si="8"/>
        <v>9</v>
      </c>
      <c r="I427" s="5" t="str">
        <f t="shared" si="9"/>
        <v>皇族☆女神</v>
      </c>
    </row>
    <row r="428" spans="1:9">
      <c r="A428" s="5" t="s">
        <v>453</v>
      </c>
      <c r="B428" s="5" t="str">
        <f t="shared" si="6"/>
        <v>皇族☆屌丝</v>
      </c>
      <c r="F428" s="8">
        <v>29</v>
      </c>
      <c r="G428" s="5">
        <f t="shared" si="7"/>
        <v>2</v>
      </c>
      <c r="H428" s="5">
        <f t="shared" si="8"/>
        <v>10</v>
      </c>
      <c r="I428" s="5" t="str">
        <f t="shared" si="9"/>
        <v>皇族☆屌丝</v>
      </c>
    </row>
    <row r="429" spans="1:9">
      <c r="A429" s="5" t="s">
        <v>454</v>
      </c>
      <c r="B429" s="5" t="str">
        <f t="shared" si="6"/>
        <v>皇族☆金</v>
      </c>
      <c r="F429" s="8">
        <v>30</v>
      </c>
      <c r="G429" s="5">
        <f t="shared" si="7"/>
        <v>2</v>
      </c>
      <c r="H429" s="5">
        <f t="shared" si="8"/>
        <v>11</v>
      </c>
      <c r="I429" s="5" t="str">
        <f t="shared" si="9"/>
        <v>皇族☆金</v>
      </c>
    </row>
    <row r="430" spans="1:9">
      <c r="A430" s="5" t="s">
        <v>455</v>
      </c>
      <c r="B430" s="5" t="str">
        <f t="shared" si="6"/>
        <v>皇族☆特工</v>
      </c>
      <c r="F430" s="8">
        <v>31</v>
      </c>
      <c r="G430" s="5">
        <f t="shared" si="7"/>
        <v>2</v>
      </c>
      <c r="H430" s="5">
        <f t="shared" si="8"/>
        <v>12</v>
      </c>
      <c r="I430" s="5" t="str">
        <f t="shared" si="9"/>
        <v>皇族☆特工</v>
      </c>
    </row>
    <row r="431" spans="1:9">
      <c r="A431" s="5" t="s">
        <v>456</v>
      </c>
      <c r="B431" s="5" t="str">
        <f t="shared" si="6"/>
        <v>皇族☆消防员</v>
      </c>
      <c r="F431" s="8">
        <v>32</v>
      </c>
      <c r="G431" s="5">
        <f t="shared" si="7"/>
        <v>2</v>
      </c>
      <c r="H431" s="5">
        <f t="shared" ref="H431:H494" si="10">MOD(F431-1,19)+1</f>
        <v>13</v>
      </c>
      <c r="I431" s="5" t="str">
        <f t="shared" si="9"/>
        <v>皇族☆消防员</v>
      </c>
    </row>
    <row r="432" spans="1:9">
      <c r="A432" s="5" t="s">
        <v>457</v>
      </c>
      <c r="B432" s="5" t="str">
        <f t="shared" si="6"/>
        <v>皇族☆冯</v>
      </c>
      <c r="F432" s="8">
        <v>33</v>
      </c>
      <c r="G432" s="5">
        <f t="shared" si="7"/>
        <v>2</v>
      </c>
      <c r="H432" s="5">
        <f t="shared" si="10"/>
        <v>14</v>
      </c>
      <c r="I432" s="5" t="str">
        <f t="shared" si="9"/>
        <v>皇族☆冯</v>
      </c>
    </row>
    <row r="433" spans="1:9">
      <c r="A433" s="5" t="s">
        <v>458</v>
      </c>
      <c r="B433" s="5" t="str">
        <f t="shared" si="6"/>
        <v>皇族☆骑士</v>
      </c>
      <c r="F433" s="8">
        <v>34</v>
      </c>
      <c r="G433" s="5">
        <f t="shared" si="7"/>
        <v>2</v>
      </c>
      <c r="H433" s="5">
        <f t="shared" si="10"/>
        <v>15</v>
      </c>
      <c r="I433" s="5" t="str">
        <f t="shared" si="9"/>
        <v>皇族☆骑士</v>
      </c>
    </row>
    <row r="434" spans="1:9">
      <c r="A434" s="5" t="s">
        <v>459</v>
      </c>
      <c r="B434" s="5" t="str">
        <f t="shared" si="6"/>
        <v>皇族☆龙骑士</v>
      </c>
      <c r="F434" s="8">
        <v>35</v>
      </c>
      <c r="G434" s="5">
        <f t="shared" si="7"/>
        <v>2</v>
      </c>
      <c r="H434" s="5">
        <f t="shared" si="10"/>
        <v>16</v>
      </c>
      <c r="I434" s="5" t="str">
        <f t="shared" si="9"/>
        <v>皇族☆龙骑士</v>
      </c>
    </row>
    <row r="435" spans="1:9">
      <c r="A435" s="5" t="s">
        <v>460</v>
      </c>
      <c r="B435" s="5" t="str">
        <f t="shared" si="6"/>
        <v>皇族☆魔导师</v>
      </c>
      <c r="F435" s="8">
        <v>36</v>
      </c>
      <c r="G435" s="5">
        <f t="shared" si="7"/>
        <v>2</v>
      </c>
      <c r="H435" s="5">
        <f t="shared" si="10"/>
        <v>17</v>
      </c>
      <c r="I435" s="5" t="str">
        <f t="shared" si="9"/>
        <v>皇族☆魔导师</v>
      </c>
    </row>
    <row r="436" spans="1:9">
      <c r="A436" s="5" t="s">
        <v>461</v>
      </c>
      <c r="B436" s="5" t="str">
        <f t="shared" si="6"/>
        <v>皇族☆星语者</v>
      </c>
      <c r="F436" s="8">
        <v>37</v>
      </c>
      <c r="G436" s="5">
        <f t="shared" si="7"/>
        <v>2</v>
      </c>
      <c r="H436" s="5">
        <f t="shared" si="10"/>
        <v>18</v>
      </c>
      <c r="I436" s="5" t="str">
        <f t="shared" si="9"/>
        <v>皇族☆星语者</v>
      </c>
    </row>
    <row r="437" spans="1:9">
      <c r="A437" s="5" t="s">
        <v>462</v>
      </c>
      <c r="B437" s="5" t="str">
        <f t="shared" si="6"/>
        <v>皇族☆灵能者</v>
      </c>
      <c r="F437" s="8">
        <v>38</v>
      </c>
      <c r="G437" s="5">
        <f t="shared" si="7"/>
        <v>2</v>
      </c>
      <c r="H437" s="5">
        <f t="shared" si="10"/>
        <v>19</v>
      </c>
      <c r="I437" s="5" t="str">
        <f t="shared" si="9"/>
        <v>皇族☆灵能者</v>
      </c>
    </row>
    <row r="438" spans="1:9">
      <c r="A438" s="5" t="s">
        <v>463</v>
      </c>
      <c r="B438" s="5" t="str">
        <f t="shared" si="6"/>
        <v>【噬魂】狂人</v>
      </c>
      <c r="F438" s="8">
        <v>39</v>
      </c>
      <c r="G438" s="5">
        <f t="shared" si="7"/>
        <v>3</v>
      </c>
      <c r="H438" s="5">
        <f t="shared" si="10"/>
        <v>1</v>
      </c>
      <c r="I438" s="5" t="str">
        <f t="shared" si="9"/>
        <v>【噬魂】狂人</v>
      </c>
    </row>
    <row r="439" spans="1:9">
      <c r="A439" s="5" t="s">
        <v>464</v>
      </c>
      <c r="B439" s="5" t="str">
        <f t="shared" si="6"/>
        <v>【噬魂】魍魉</v>
      </c>
      <c r="F439" s="8">
        <v>40</v>
      </c>
      <c r="G439" s="5">
        <f t="shared" si="7"/>
        <v>3</v>
      </c>
      <c r="H439" s="5">
        <f t="shared" si="10"/>
        <v>2</v>
      </c>
      <c r="I439" s="5" t="str">
        <f t="shared" si="9"/>
        <v>【噬魂】魍魉</v>
      </c>
    </row>
    <row r="440" spans="1:9">
      <c r="A440" s="5" t="s">
        <v>465</v>
      </c>
      <c r="B440" s="5" t="str">
        <f t="shared" si="6"/>
        <v>【噬魂】乖乖</v>
      </c>
      <c r="F440" s="8">
        <v>41</v>
      </c>
      <c r="G440" s="5">
        <f t="shared" si="7"/>
        <v>3</v>
      </c>
      <c r="H440" s="5">
        <f t="shared" si="10"/>
        <v>3</v>
      </c>
      <c r="I440" s="5" t="str">
        <f t="shared" si="9"/>
        <v>【噬魂】乖乖</v>
      </c>
    </row>
    <row r="441" spans="1:9">
      <c r="A441" s="5" t="s">
        <v>466</v>
      </c>
      <c r="B441" s="5" t="str">
        <f t="shared" si="6"/>
        <v>【噬魂】布丁</v>
      </c>
      <c r="F441" s="8">
        <v>42</v>
      </c>
      <c r="G441" s="5">
        <f t="shared" si="7"/>
        <v>3</v>
      </c>
      <c r="H441" s="5">
        <f t="shared" si="10"/>
        <v>4</v>
      </c>
      <c r="I441" s="5" t="str">
        <f t="shared" si="9"/>
        <v>【噬魂】布丁</v>
      </c>
    </row>
    <row r="442" spans="1:9">
      <c r="A442" s="5" t="s">
        <v>467</v>
      </c>
      <c r="B442" s="5" t="str">
        <f t="shared" si="6"/>
        <v>【噬魂】影子</v>
      </c>
      <c r="F442" s="8">
        <v>43</v>
      </c>
      <c r="G442" s="5">
        <f t="shared" si="7"/>
        <v>3</v>
      </c>
      <c r="H442" s="5">
        <f t="shared" si="10"/>
        <v>5</v>
      </c>
      <c r="I442" s="5" t="str">
        <f t="shared" si="9"/>
        <v>【噬魂】影子</v>
      </c>
    </row>
    <row r="443" spans="1:9">
      <c r="A443" s="5" t="s">
        <v>468</v>
      </c>
      <c r="B443" s="5" t="str">
        <f t="shared" si="6"/>
        <v>【噬魂】笨蛋</v>
      </c>
      <c r="F443" s="8">
        <v>44</v>
      </c>
      <c r="G443" s="5">
        <f t="shared" si="7"/>
        <v>3</v>
      </c>
      <c r="H443" s="5">
        <f t="shared" si="10"/>
        <v>6</v>
      </c>
      <c r="I443" s="5" t="str">
        <f t="shared" si="9"/>
        <v>【噬魂】笨蛋</v>
      </c>
    </row>
    <row r="444" spans="1:9">
      <c r="A444" s="5" t="s">
        <v>469</v>
      </c>
      <c r="B444" s="5" t="str">
        <f t="shared" si="6"/>
        <v>【噬魂】老王</v>
      </c>
      <c r="F444" s="8">
        <v>45</v>
      </c>
      <c r="G444" s="5">
        <f t="shared" si="7"/>
        <v>3</v>
      </c>
      <c r="H444" s="5">
        <f t="shared" si="10"/>
        <v>7</v>
      </c>
      <c r="I444" s="5" t="str">
        <f t="shared" si="9"/>
        <v>【噬魂】老王</v>
      </c>
    </row>
    <row r="445" spans="1:9">
      <c r="A445" s="5" t="s">
        <v>470</v>
      </c>
      <c r="B445" s="5" t="str">
        <f t="shared" si="6"/>
        <v>【噬魂】虫虫</v>
      </c>
      <c r="F445" s="8">
        <v>46</v>
      </c>
      <c r="G445" s="5">
        <f t="shared" si="7"/>
        <v>3</v>
      </c>
      <c r="H445" s="5">
        <f t="shared" si="10"/>
        <v>8</v>
      </c>
      <c r="I445" s="5" t="str">
        <f t="shared" si="9"/>
        <v>【噬魂】虫虫</v>
      </c>
    </row>
    <row r="446" spans="1:9">
      <c r="A446" s="5" t="s">
        <v>471</v>
      </c>
      <c r="B446" s="5" t="str">
        <f t="shared" si="6"/>
        <v>【噬魂】女神</v>
      </c>
      <c r="F446" s="8">
        <v>47</v>
      </c>
      <c r="G446" s="5">
        <f t="shared" si="7"/>
        <v>3</v>
      </c>
      <c r="H446" s="5">
        <f t="shared" si="10"/>
        <v>9</v>
      </c>
      <c r="I446" s="5" t="str">
        <f t="shared" si="9"/>
        <v>【噬魂】女神</v>
      </c>
    </row>
    <row r="447" spans="1:9">
      <c r="A447" s="5" t="s">
        <v>472</v>
      </c>
      <c r="B447" s="5" t="str">
        <f t="shared" si="6"/>
        <v>【噬魂】屌丝</v>
      </c>
      <c r="F447" s="8">
        <v>48</v>
      </c>
      <c r="G447" s="5">
        <f t="shared" si="7"/>
        <v>3</v>
      </c>
      <c r="H447" s="5">
        <f t="shared" si="10"/>
        <v>10</v>
      </c>
      <c r="I447" s="5" t="str">
        <f t="shared" si="9"/>
        <v>【噬魂】屌丝</v>
      </c>
    </row>
    <row r="448" spans="1:9">
      <c r="A448" s="5" t="s">
        <v>473</v>
      </c>
      <c r="B448" s="5" t="str">
        <f t="shared" si="6"/>
        <v>【噬魂】金</v>
      </c>
      <c r="F448" s="8">
        <v>49</v>
      </c>
      <c r="G448" s="5">
        <f t="shared" si="7"/>
        <v>3</v>
      </c>
      <c r="H448" s="5">
        <f t="shared" si="10"/>
        <v>11</v>
      </c>
      <c r="I448" s="5" t="str">
        <f t="shared" si="9"/>
        <v>【噬魂】金</v>
      </c>
    </row>
    <row r="449" spans="1:9">
      <c r="A449" s="5" t="s">
        <v>474</v>
      </c>
      <c r="B449" s="5" t="str">
        <f t="shared" si="6"/>
        <v>【噬魂】特工</v>
      </c>
      <c r="F449" s="8">
        <v>50</v>
      </c>
      <c r="G449" s="5">
        <f t="shared" si="7"/>
        <v>3</v>
      </c>
      <c r="H449" s="5">
        <f t="shared" si="10"/>
        <v>12</v>
      </c>
      <c r="I449" s="5" t="str">
        <f t="shared" si="9"/>
        <v>【噬魂】特工</v>
      </c>
    </row>
    <row r="450" spans="1:9">
      <c r="A450" s="5" t="s">
        <v>475</v>
      </c>
      <c r="B450" s="5" t="str">
        <f t="shared" ref="B450:B513" si="11">LEFT(A450,7)</f>
        <v>【噬魂】消防员</v>
      </c>
      <c r="F450" s="8">
        <v>51</v>
      </c>
      <c r="G450" s="5">
        <f t="shared" si="7"/>
        <v>3</v>
      </c>
      <c r="H450" s="5">
        <f t="shared" si="10"/>
        <v>13</v>
      </c>
      <c r="I450" s="5" t="str">
        <f t="shared" si="9"/>
        <v>【噬魂】消防员</v>
      </c>
    </row>
    <row r="451" spans="1:9">
      <c r="A451" s="5" t="s">
        <v>476</v>
      </c>
      <c r="B451" s="5" t="str">
        <f t="shared" si="11"/>
        <v>【噬魂】冯</v>
      </c>
      <c r="F451" s="8">
        <v>52</v>
      </c>
      <c r="G451" s="5">
        <f t="shared" si="7"/>
        <v>3</v>
      </c>
      <c r="H451" s="5">
        <f t="shared" si="10"/>
        <v>14</v>
      </c>
      <c r="I451" s="5" t="str">
        <f t="shared" si="9"/>
        <v>【噬魂】冯</v>
      </c>
    </row>
    <row r="452" spans="1:9">
      <c r="A452" s="5" t="s">
        <v>477</v>
      </c>
      <c r="B452" s="5" t="str">
        <f t="shared" si="11"/>
        <v>【噬魂】骑士</v>
      </c>
      <c r="F452" s="8">
        <v>53</v>
      </c>
      <c r="G452" s="5">
        <f t="shared" si="7"/>
        <v>3</v>
      </c>
      <c r="H452" s="5">
        <f t="shared" si="10"/>
        <v>15</v>
      </c>
      <c r="I452" s="5" t="str">
        <f t="shared" si="9"/>
        <v>【噬魂】骑士</v>
      </c>
    </row>
    <row r="453" spans="1:9">
      <c r="A453" s="5" t="s">
        <v>478</v>
      </c>
      <c r="B453" s="5" t="str">
        <f t="shared" si="11"/>
        <v>【噬魂】龙骑士</v>
      </c>
      <c r="F453" s="8">
        <v>54</v>
      </c>
      <c r="G453" s="5">
        <f t="shared" si="7"/>
        <v>3</v>
      </c>
      <c r="H453" s="5">
        <f t="shared" si="10"/>
        <v>16</v>
      </c>
      <c r="I453" s="5" t="str">
        <f t="shared" si="9"/>
        <v>【噬魂】龙骑士</v>
      </c>
    </row>
    <row r="454" spans="1:9">
      <c r="A454" s="5" t="s">
        <v>479</v>
      </c>
      <c r="B454" s="5" t="str">
        <f t="shared" si="11"/>
        <v>【噬魂】魔导师</v>
      </c>
      <c r="F454" s="8">
        <v>55</v>
      </c>
      <c r="G454" s="5">
        <f t="shared" si="7"/>
        <v>3</v>
      </c>
      <c r="H454" s="5">
        <f t="shared" si="10"/>
        <v>17</v>
      </c>
      <c r="I454" s="5" t="str">
        <f t="shared" si="9"/>
        <v>【噬魂】魔导师</v>
      </c>
    </row>
    <row r="455" spans="1:9">
      <c r="A455" s="5" t="s">
        <v>480</v>
      </c>
      <c r="B455" s="5" t="str">
        <f t="shared" si="11"/>
        <v>【噬魂】星语者</v>
      </c>
      <c r="F455" s="8">
        <v>56</v>
      </c>
      <c r="G455" s="5">
        <f t="shared" si="7"/>
        <v>3</v>
      </c>
      <c r="H455" s="5">
        <f t="shared" si="10"/>
        <v>18</v>
      </c>
      <c r="I455" s="5" t="str">
        <f t="shared" si="9"/>
        <v>【噬魂】星语者</v>
      </c>
    </row>
    <row r="456" spans="1:9">
      <c r="A456" s="5" t="s">
        <v>481</v>
      </c>
      <c r="B456" s="5" t="str">
        <f t="shared" si="11"/>
        <v>【噬魂】灵能者</v>
      </c>
      <c r="F456" s="8">
        <v>57</v>
      </c>
      <c r="G456" s="5">
        <f t="shared" si="7"/>
        <v>3</v>
      </c>
      <c r="H456" s="5">
        <f t="shared" si="10"/>
        <v>19</v>
      </c>
      <c r="I456" s="5" t="str">
        <f t="shared" si="9"/>
        <v>【噬魂】灵能者</v>
      </c>
    </row>
    <row r="457" spans="1:9">
      <c r="A457" s="5" t="s">
        <v>482</v>
      </c>
      <c r="B457" s="5" t="str">
        <f t="shared" si="11"/>
        <v>Crazy◇狂</v>
      </c>
      <c r="F457" s="8">
        <v>58</v>
      </c>
      <c r="G457" s="5">
        <f t="shared" si="7"/>
        <v>4</v>
      </c>
      <c r="H457" s="5">
        <f t="shared" si="10"/>
        <v>1</v>
      </c>
      <c r="I457" s="5" t="str">
        <f t="shared" si="9"/>
        <v>Crazy◇狂人</v>
      </c>
    </row>
    <row r="458" spans="1:9">
      <c r="A458" s="5" t="s">
        <v>483</v>
      </c>
      <c r="B458" s="5" t="str">
        <f t="shared" si="11"/>
        <v>Crazy◇魍</v>
      </c>
      <c r="F458" s="8">
        <v>59</v>
      </c>
      <c r="G458" s="5">
        <f t="shared" si="7"/>
        <v>4</v>
      </c>
      <c r="H458" s="5">
        <f t="shared" si="10"/>
        <v>2</v>
      </c>
      <c r="I458" s="5" t="str">
        <f t="shared" si="9"/>
        <v>Crazy◇魍魉</v>
      </c>
    </row>
    <row r="459" spans="1:9">
      <c r="A459" s="5" t="s">
        <v>484</v>
      </c>
      <c r="B459" s="5" t="str">
        <f t="shared" si="11"/>
        <v>Crazy◇乖</v>
      </c>
      <c r="F459" s="8">
        <v>60</v>
      </c>
      <c r="G459" s="5">
        <f t="shared" si="7"/>
        <v>4</v>
      </c>
      <c r="H459" s="5">
        <f t="shared" si="10"/>
        <v>3</v>
      </c>
      <c r="I459" s="5" t="str">
        <f t="shared" si="9"/>
        <v>Crazy◇乖乖</v>
      </c>
    </row>
    <row r="460" spans="1:9">
      <c r="A460" s="5" t="s">
        <v>485</v>
      </c>
      <c r="B460" s="5" t="str">
        <f t="shared" si="11"/>
        <v>Crazy◇布</v>
      </c>
      <c r="F460" s="8">
        <v>61</v>
      </c>
      <c r="G460" s="5">
        <f t="shared" si="7"/>
        <v>4</v>
      </c>
      <c r="H460" s="5">
        <f t="shared" si="10"/>
        <v>4</v>
      </c>
      <c r="I460" s="5" t="str">
        <f t="shared" si="9"/>
        <v>Crazy◇布丁</v>
      </c>
    </row>
    <row r="461" spans="1:9">
      <c r="A461" s="5" t="s">
        <v>486</v>
      </c>
      <c r="B461" s="5" t="str">
        <f t="shared" si="11"/>
        <v>Crazy◇影</v>
      </c>
      <c r="F461" s="8">
        <v>62</v>
      </c>
      <c r="G461" s="5">
        <f t="shared" si="7"/>
        <v>4</v>
      </c>
      <c r="H461" s="5">
        <f t="shared" si="10"/>
        <v>5</v>
      </c>
      <c r="I461" s="5" t="str">
        <f t="shared" si="9"/>
        <v>Crazy◇影子</v>
      </c>
    </row>
    <row r="462" spans="1:9">
      <c r="A462" s="5" t="s">
        <v>487</v>
      </c>
      <c r="B462" s="5" t="str">
        <f t="shared" si="11"/>
        <v>Crazy◇笨</v>
      </c>
      <c r="F462" s="8">
        <v>63</v>
      </c>
      <c r="G462" s="5">
        <f t="shared" si="7"/>
        <v>4</v>
      </c>
      <c r="H462" s="5">
        <f t="shared" si="10"/>
        <v>6</v>
      </c>
      <c r="I462" s="5" t="str">
        <f t="shared" si="9"/>
        <v>Crazy◇笨蛋</v>
      </c>
    </row>
    <row r="463" spans="1:9">
      <c r="A463" s="5" t="s">
        <v>488</v>
      </c>
      <c r="B463" s="5" t="str">
        <f t="shared" si="11"/>
        <v>Crazy◇老</v>
      </c>
      <c r="F463" s="8">
        <v>64</v>
      </c>
      <c r="G463" s="5">
        <f t="shared" si="7"/>
        <v>4</v>
      </c>
      <c r="H463" s="5">
        <f t="shared" si="10"/>
        <v>7</v>
      </c>
      <c r="I463" s="5" t="str">
        <f t="shared" si="9"/>
        <v>Crazy◇老王</v>
      </c>
    </row>
    <row r="464" spans="1:9">
      <c r="A464" s="5" t="s">
        <v>489</v>
      </c>
      <c r="B464" s="5" t="str">
        <f t="shared" si="11"/>
        <v>Crazy◇虫</v>
      </c>
      <c r="F464" s="8">
        <v>65</v>
      </c>
      <c r="G464" s="5">
        <f t="shared" si="7"/>
        <v>4</v>
      </c>
      <c r="H464" s="5">
        <f t="shared" si="10"/>
        <v>8</v>
      </c>
      <c r="I464" s="5" t="str">
        <f t="shared" si="9"/>
        <v>Crazy◇虫虫</v>
      </c>
    </row>
    <row r="465" spans="1:9">
      <c r="A465" s="5" t="s">
        <v>490</v>
      </c>
      <c r="B465" s="5" t="str">
        <f t="shared" si="11"/>
        <v>Crazy◇女</v>
      </c>
      <c r="F465" s="8">
        <v>66</v>
      </c>
      <c r="G465" s="5">
        <f t="shared" ref="G465:G528" si="12">QUOTIENT(F465-1,19)+1</f>
        <v>4</v>
      </c>
      <c r="H465" s="5">
        <f t="shared" si="10"/>
        <v>9</v>
      </c>
      <c r="I465" s="5" t="str">
        <f t="shared" ref="I465:I528" si="13">INDEX($D$400:$D$407,G465,,1)&amp;INDEX($E$400:$E$418,H465,,1)</f>
        <v>Crazy◇女神</v>
      </c>
    </row>
    <row r="466" spans="1:9">
      <c r="A466" s="5" t="s">
        <v>491</v>
      </c>
      <c r="B466" s="5" t="str">
        <f t="shared" si="11"/>
        <v>Crazy◇屌</v>
      </c>
      <c r="F466" s="8">
        <v>67</v>
      </c>
      <c r="G466" s="5">
        <f t="shared" si="12"/>
        <v>4</v>
      </c>
      <c r="H466" s="5">
        <f t="shared" si="10"/>
        <v>10</v>
      </c>
      <c r="I466" s="5" t="str">
        <f t="shared" si="13"/>
        <v>Crazy◇屌丝</v>
      </c>
    </row>
    <row r="467" spans="1:9">
      <c r="A467" s="5" t="s">
        <v>492</v>
      </c>
      <c r="B467" s="5" t="str">
        <f t="shared" si="11"/>
        <v>Crazy◇金</v>
      </c>
      <c r="F467" s="8">
        <v>68</v>
      </c>
      <c r="G467" s="5">
        <f t="shared" si="12"/>
        <v>4</v>
      </c>
      <c r="H467" s="5">
        <f t="shared" si="10"/>
        <v>11</v>
      </c>
      <c r="I467" s="5" t="str">
        <f t="shared" si="13"/>
        <v>Crazy◇金</v>
      </c>
    </row>
    <row r="468" spans="1:9">
      <c r="A468" s="5" t="s">
        <v>493</v>
      </c>
      <c r="B468" s="5" t="str">
        <f t="shared" si="11"/>
        <v>Crazy◇特</v>
      </c>
      <c r="F468" s="8">
        <v>69</v>
      </c>
      <c r="G468" s="5">
        <f t="shared" si="12"/>
        <v>4</v>
      </c>
      <c r="H468" s="5">
        <f t="shared" si="10"/>
        <v>12</v>
      </c>
      <c r="I468" s="5" t="str">
        <f t="shared" si="13"/>
        <v>Crazy◇特工</v>
      </c>
    </row>
    <row r="469" spans="1:9">
      <c r="A469" s="5" t="s">
        <v>494</v>
      </c>
      <c r="B469" s="5" t="str">
        <f t="shared" si="11"/>
        <v>Crazy◇消</v>
      </c>
      <c r="F469" s="8">
        <v>70</v>
      </c>
      <c r="G469" s="5">
        <f t="shared" si="12"/>
        <v>4</v>
      </c>
      <c r="H469" s="5">
        <f t="shared" si="10"/>
        <v>13</v>
      </c>
      <c r="I469" s="5" t="str">
        <f t="shared" si="13"/>
        <v>Crazy◇消防员</v>
      </c>
    </row>
    <row r="470" spans="1:9">
      <c r="A470" s="5" t="s">
        <v>495</v>
      </c>
      <c r="B470" s="5" t="str">
        <f t="shared" si="11"/>
        <v>Crazy◇冯</v>
      </c>
      <c r="F470" s="8">
        <v>71</v>
      </c>
      <c r="G470" s="5">
        <f t="shared" si="12"/>
        <v>4</v>
      </c>
      <c r="H470" s="5">
        <f t="shared" si="10"/>
        <v>14</v>
      </c>
      <c r="I470" s="5" t="str">
        <f t="shared" si="13"/>
        <v>Crazy◇冯</v>
      </c>
    </row>
    <row r="471" spans="1:9">
      <c r="A471" s="5" t="s">
        <v>496</v>
      </c>
      <c r="B471" s="5" t="str">
        <f t="shared" si="11"/>
        <v>Crazy◇骑</v>
      </c>
      <c r="F471" s="8">
        <v>72</v>
      </c>
      <c r="G471" s="5">
        <f t="shared" si="12"/>
        <v>4</v>
      </c>
      <c r="H471" s="5">
        <f t="shared" si="10"/>
        <v>15</v>
      </c>
      <c r="I471" s="5" t="str">
        <f t="shared" si="13"/>
        <v>Crazy◇骑士</v>
      </c>
    </row>
    <row r="472" spans="1:9">
      <c r="A472" s="5" t="s">
        <v>497</v>
      </c>
      <c r="B472" s="5" t="str">
        <f t="shared" si="11"/>
        <v>Crazy◇龙</v>
      </c>
      <c r="F472" s="8">
        <v>73</v>
      </c>
      <c r="G472" s="5">
        <f t="shared" si="12"/>
        <v>4</v>
      </c>
      <c r="H472" s="5">
        <f t="shared" si="10"/>
        <v>16</v>
      </c>
      <c r="I472" s="5" t="str">
        <f t="shared" si="13"/>
        <v>Crazy◇龙骑士</v>
      </c>
    </row>
    <row r="473" spans="1:9">
      <c r="A473" s="5" t="s">
        <v>498</v>
      </c>
      <c r="B473" s="5" t="str">
        <f t="shared" si="11"/>
        <v>Crazy◇魔</v>
      </c>
      <c r="F473" s="8">
        <v>74</v>
      </c>
      <c r="G473" s="5">
        <f t="shared" si="12"/>
        <v>4</v>
      </c>
      <c r="H473" s="5">
        <f t="shared" si="10"/>
        <v>17</v>
      </c>
      <c r="I473" s="5" t="str">
        <f t="shared" si="13"/>
        <v>Crazy◇魔导师</v>
      </c>
    </row>
    <row r="474" spans="1:9">
      <c r="A474" s="5" t="s">
        <v>499</v>
      </c>
      <c r="B474" s="5" t="str">
        <f t="shared" si="11"/>
        <v>Crazy◇星</v>
      </c>
      <c r="F474" s="8">
        <v>75</v>
      </c>
      <c r="G474" s="5">
        <f t="shared" si="12"/>
        <v>4</v>
      </c>
      <c r="H474" s="5">
        <f t="shared" si="10"/>
        <v>18</v>
      </c>
      <c r="I474" s="5" t="str">
        <f t="shared" si="13"/>
        <v>Crazy◇星语者</v>
      </c>
    </row>
    <row r="475" spans="1:9">
      <c r="A475" s="5" t="s">
        <v>500</v>
      </c>
      <c r="B475" s="5" t="str">
        <f t="shared" si="11"/>
        <v>Crazy◇灵</v>
      </c>
      <c r="F475" s="8">
        <v>76</v>
      </c>
      <c r="G475" s="5">
        <f t="shared" si="12"/>
        <v>4</v>
      </c>
      <c r="H475" s="5">
        <f t="shared" si="10"/>
        <v>19</v>
      </c>
      <c r="I475" s="5" t="str">
        <f t="shared" si="13"/>
        <v>Crazy◇灵能者</v>
      </c>
    </row>
    <row r="476" spans="1:9">
      <c r="A476" s="5" t="s">
        <v>501</v>
      </c>
      <c r="B476" s="5" t="str">
        <f t="shared" si="11"/>
        <v>无忧⊙狂人</v>
      </c>
      <c r="F476" s="8">
        <v>77</v>
      </c>
      <c r="G476" s="5">
        <f t="shared" si="12"/>
        <v>5</v>
      </c>
      <c r="H476" s="5">
        <f t="shared" si="10"/>
        <v>1</v>
      </c>
      <c r="I476" s="5" t="str">
        <f t="shared" si="13"/>
        <v>无忧⊙狂人</v>
      </c>
    </row>
    <row r="477" spans="1:9">
      <c r="A477" s="5" t="s">
        <v>502</v>
      </c>
      <c r="B477" s="5" t="str">
        <f t="shared" si="11"/>
        <v>无忧⊙魍魉</v>
      </c>
      <c r="F477" s="8">
        <v>78</v>
      </c>
      <c r="G477" s="5">
        <f t="shared" si="12"/>
        <v>5</v>
      </c>
      <c r="H477" s="5">
        <f t="shared" si="10"/>
        <v>2</v>
      </c>
      <c r="I477" s="5" t="str">
        <f t="shared" si="13"/>
        <v>无忧⊙魍魉</v>
      </c>
    </row>
    <row r="478" spans="1:9">
      <c r="A478" s="5" t="s">
        <v>503</v>
      </c>
      <c r="B478" s="5" t="str">
        <f t="shared" si="11"/>
        <v>无忧⊙乖乖</v>
      </c>
      <c r="F478" s="8">
        <v>79</v>
      </c>
      <c r="G478" s="5">
        <f t="shared" si="12"/>
        <v>5</v>
      </c>
      <c r="H478" s="5">
        <f t="shared" si="10"/>
        <v>3</v>
      </c>
      <c r="I478" s="5" t="str">
        <f t="shared" si="13"/>
        <v>无忧⊙乖乖</v>
      </c>
    </row>
    <row r="479" spans="1:9">
      <c r="A479" s="5" t="s">
        <v>504</v>
      </c>
      <c r="B479" s="5" t="str">
        <f t="shared" si="11"/>
        <v>无忧⊙布丁</v>
      </c>
      <c r="F479" s="8">
        <v>80</v>
      </c>
      <c r="G479" s="5">
        <f t="shared" si="12"/>
        <v>5</v>
      </c>
      <c r="H479" s="5">
        <f t="shared" si="10"/>
        <v>4</v>
      </c>
      <c r="I479" s="5" t="str">
        <f t="shared" si="13"/>
        <v>无忧⊙布丁</v>
      </c>
    </row>
    <row r="480" spans="1:9">
      <c r="A480" s="5" t="s">
        <v>505</v>
      </c>
      <c r="B480" s="5" t="str">
        <f t="shared" si="11"/>
        <v>无忧⊙影子</v>
      </c>
      <c r="F480" s="8">
        <v>81</v>
      </c>
      <c r="G480" s="5">
        <f t="shared" si="12"/>
        <v>5</v>
      </c>
      <c r="H480" s="5">
        <f t="shared" si="10"/>
        <v>5</v>
      </c>
      <c r="I480" s="5" t="str">
        <f t="shared" si="13"/>
        <v>无忧⊙影子</v>
      </c>
    </row>
    <row r="481" spans="1:9">
      <c r="A481" s="5" t="s">
        <v>506</v>
      </c>
      <c r="B481" s="5" t="str">
        <f t="shared" si="11"/>
        <v>无忧⊙笨蛋</v>
      </c>
      <c r="F481" s="8">
        <v>82</v>
      </c>
      <c r="G481" s="5">
        <f t="shared" si="12"/>
        <v>5</v>
      </c>
      <c r="H481" s="5">
        <f t="shared" si="10"/>
        <v>6</v>
      </c>
      <c r="I481" s="5" t="str">
        <f t="shared" si="13"/>
        <v>无忧⊙笨蛋</v>
      </c>
    </row>
    <row r="482" spans="1:9">
      <c r="A482" s="5" t="s">
        <v>507</v>
      </c>
      <c r="B482" s="5" t="str">
        <f t="shared" si="11"/>
        <v>无忧⊙老王</v>
      </c>
      <c r="F482" s="8">
        <v>83</v>
      </c>
      <c r="G482" s="5">
        <f t="shared" si="12"/>
        <v>5</v>
      </c>
      <c r="H482" s="5">
        <f t="shared" si="10"/>
        <v>7</v>
      </c>
      <c r="I482" s="5" t="str">
        <f t="shared" si="13"/>
        <v>无忧⊙老王</v>
      </c>
    </row>
    <row r="483" spans="1:9">
      <c r="A483" s="5" t="s">
        <v>508</v>
      </c>
      <c r="B483" s="5" t="str">
        <f t="shared" si="11"/>
        <v>无忧⊙虫虫</v>
      </c>
      <c r="F483" s="8">
        <v>84</v>
      </c>
      <c r="G483" s="5">
        <f t="shared" si="12"/>
        <v>5</v>
      </c>
      <c r="H483" s="5">
        <f t="shared" si="10"/>
        <v>8</v>
      </c>
      <c r="I483" s="5" t="str">
        <f t="shared" si="13"/>
        <v>无忧⊙虫虫</v>
      </c>
    </row>
    <row r="484" spans="1:9">
      <c r="A484" s="5" t="s">
        <v>509</v>
      </c>
      <c r="B484" s="5" t="str">
        <f t="shared" si="11"/>
        <v>无忧⊙女神</v>
      </c>
      <c r="F484" s="8">
        <v>85</v>
      </c>
      <c r="G484" s="5">
        <f t="shared" si="12"/>
        <v>5</v>
      </c>
      <c r="H484" s="5">
        <f t="shared" si="10"/>
        <v>9</v>
      </c>
      <c r="I484" s="5" t="str">
        <f t="shared" si="13"/>
        <v>无忧⊙女神</v>
      </c>
    </row>
    <row r="485" spans="1:9">
      <c r="A485" s="5" t="s">
        <v>510</v>
      </c>
      <c r="B485" s="5" t="str">
        <f t="shared" si="11"/>
        <v>无忧⊙屌丝</v>
      </c>
      <c r="F485" s="8">
        <v>86</v>
      </c>
      <c r="G485" s="5">
        <f t="shared" si="12"/>
        <v>5</v>
      </c>
      <c r="H485" s="5">
        <f t="shared" si="10"/>
        <v>10</v>
      </c>
      <c r="I485" s="5" t="str">
        <f t="shared" si="13"/>
        <v>无忧⊙屌丝</v>
      </c>
    </row>
    <row r="486" spans="1:9">
      <c r="A486" s="5" t="s">
        <v>511</v>
      </c>
      <c r="B486" s="5" t="str">
        <f t="shared" si="11"/>
        <v>无忧⊙金</v>
      </c>
      <c r="F486" s="8">
        <v>87</v>
      </c>
      <c r="G486" s="5">
        <f t="shared" si="12"/>
        <v>5</v>
      </c>
      <c r="H486" s="5">
        <f t="shared" si="10"/>
        <v>11</v>
      </c>
      <c r="I486" s="5" t="str">
        <f t="shared" si="13"/>
        <v>无忧⊙金</v>
      </c>
    </row>
    <row r="487" spans="1:9">
      <c r="A487" s="5" t="s">
        <v>512</v>
      </c>
      <c r="B487" s="5" t="str">
        <f t="shared" si="11"/>
        <v>无忧⊙特工</v>
      </c>
      <c r="F487" s="8">
        <v>88</v>
      </c>
      <c r="G487" s="5">
        <f t="shared" si="12"/>
        <v>5</v>
      </c>
      <c r="H487" s="5">
        <f t="shared" si="10"/>
        <v>12</v>
      </c>
      <c r="I487" s="5" t="str">
        <f t="shared" si="13"/>
        <v>无忧⊙特工</v>
      </c>
    </row>
    <row r="488" spans="1:9">
      <c r="A488" s="5" t="s">
        <v>513</v>
      </c>
      <c r="B488" s="5" t="str">
        <f t="shared" si="11"/>
        <v>无忧⊙消防员</v>
      </c>
      <c r="F488" s="8">
        <v>89</v>
      </c>
      <c r="G488" s="5">
        <f t="shared" si="12"/>
        <v>5</v>
      </c>
      <c r="H488" s="5">
        <f t="shared" si="10"/>
        <v>13</v>
      </c>
      <c r="I488" s="5" t="str">
        <f t="shared" si="13"/>
        <v>无忧⊙消防员</v>
      </c>
    </row>
    <row r="489" spans="1:9">
      <c r="A489" s="5" t="s">
        <v>514</v>
      </c>
      <c r="B489" s="5" t="str">
        <f t="shared" si="11"/>
        <v>无忧⊙冯</v>
      </c>
      <c r="F489" s="8">
        <v>90</v>
      </c>
      <c r="G489" s="5">
        <f t="shared" si="12"/>
        <v>5</v>
      </c>
      <c r="H489" s="5">
        <f t="shared" si="10"/>
        <v>14</v>
      </c>
      <c r="I489" s="5" t="str">
        <f t="shared" si="13"/>
        <v>无忧⊙冯</v>
      </c>
    </row>
    <row r="490" spans="1:9">
      <c r="A490" s="5" t="s">
        <v>515</v>
      </c>
      <c r="B490" s="5" t="str">
        <f t="shared" si="11"/>
        <v>无忧⊙骑士</v>
      </c>
      <c r="F490" s="8">
        <v>91</v>
      </c>
      <c r="G490" s="5">
        <f t="shared" si="12"/>
        <v>5</v>
      </c>
      <c r="H490" s="5">
        <f t="shared" si="10"/>
        <v>15</v>
      </c>
      <c r="I490" s="5" t="str">
        <f t="shared" si="13"/>
        <v>无忧⊙骑士</v>
      </c>
    </row>
    <row r="491" spans="1:9">
      <c r="A491" s="5" t="s">
        <v>516</v>
      </c>
      <c r="B491" s="5" t="str">
        <f t="shared" si="11"/>
        <v>无忧⊙龙骑士</v>
      </c>
      <c r="F491" s="8">
        <v>92</v>
      </c>
      <c r="G491" s="5">
        <f t="shared" si="12"/>
        <v>5</v>
      </c>
      <c r="H491" s="5">
        <f t="shared" si="10"/>
        <v>16</v>
      </c>
      <c r="I491" s="5" t="str">
        <f t="shared" si="13"/>
        <v>无忧⊙龙骑士</v>
      </c>
    </row>
    <row r="492" spans="1:9">
      <c r="A492" s="5" t="s">
        <v>517</v>
      </c>
      <c r="B492" s="5" t="str">
        <f t="shared" si="11"/>
        <v>无忧⊙魔导师</v>
      </c>
      <c r="F492" s="8">
        <v>93</v>
      </c>
      <c r="G492" s="5">
        <f t="shared" si="12"/>
        <v>5</v>
      </c>
      <c r="H492" s="5">
        <f t="shared" si="10"/>
        <v>17</v>
      </c>
      <c r="I492" s="5" t="str">
        <f t="shared" si="13"/>
        <v>无忧⊙魔导师</v>
      </c>
    </row>
    <row r="493" spans="1:9">
      <c r="A493" s="5" t="s">
        <v>518</v>
      </c>
      <c r="B493" s="5" t="str">
        <f t="shared" si="11"/>
        <v>无忧⊙星语者</v>
      </c>
      <c r="F493" s="8">
        <v>94</v>
      </c>
      <c r="G493" s="5">
        <f t="shared" si="12"/>
        <v>5</v>
      </c>
      <c r="H493" s="5">
        <f t="shared" si="10"/>
        <v>18</v>
      </c>
      <c r="I493" s="5" t="str">
        <f t="shared" si="13"/>
        <v>无忧⊙星语者</v>
      </c>
    </row>
    <row r="494" spans="1:9">
      <c r="A494" s="5" t="s">
        <v>519</v>
      </c>
      <c r="B494" s="5" t="str">
        <f t="shared" si="11"/>
        <v>无忧⊙灵能者</v>
      </c>
      <c r="F494" s="8">
        <v>95</v>
      </c>
      <c r="G494" s="5">
        <f t="shared" si="12"/>
        <v>5</v>
      </c>
      <c r="H494" s="5">
        <f t="shared" si="10"/>
        <v>19</v>
      </c>
      <c r="I494" s="5" t="str">
        <f t="shared" si="13"/>
        <v>无忧⊙灵能者</v>
      </c>
    </row>
    <row r="495" spans="1:9">
      <c r="A495" s="5" t="s">
        <v>520</v>
      </c>
      <c r="B495" s="5" t="str">
        <f t="shared" si="11"/>
        <v>Luck♂狂人</v>
      </c>
      <c r="F495" s="8">
        <v>96</v>
      </c>
      <c r="G495" s="5">
        <f t="shared" si="12"/>
        <v>6</v>
      </c>
      <c r="H495" s="5">
        <f t="shared" ref="H495:H550" si="14">MOD(F495-1,19)+1</f>
        <v>1</v>
      </c>
      <c r="I495" s="5" t="str">
        <f t="shared" si="13"/>
        <v>Luck♂狂人</v>
      </c>
    </row>
    <row r="496" spans="1:9">
      <c r="A496" s="5" t="s">
        <v>521</v>
      </c>
      <c r="B496" s="5" t="str">
        <f t="shared" si="11"/>
        <v>Luck♂魍魉</v>
      </c>
      <c r="F496" s="8">
        <v>97</v>
      </c>
      <c r="G496" s="5">
        <f t="shared" si="12"/>
        <v>6</v>
      </c>
      <c r="H496" s="5">
        <f t="shared" si="14"/>
        <v>2</v>
      </c>
      <c r="I496" s="5" t="str">
        <f t="shared" si="13"/>
        <v>Luck♂魍魉</v>
      </c>
    </row>
    <row r="497" spans="1:9">
      <c r="A497" s="5" t="s">
        <v>522</v>
      </c>
      <c r="B497" s="5" t="str">
        <f t="shared" si="11"/>
        <v>Luck♂乖乖</v>
      </c>
      <c r="F497" s="8">
        <v>98</v>
      </c>
      <c r="G497" s="5">
        <f t="shared" si="12"/>
        <v>6</v>
      </c>
      <c r="H497" s="5">
        <f t="shared" si="14"/>
        <v>3</v>
      </c>
      <c r="I497" s="5" t="str">
        <f t="shared" si="13"/>
        <v>Luck♂乖乖</v>
      </c>
    </row>
    <row r="498" spans="1:9">
      <c r="A498" s="5" t="s">
        <v>523</v>
      </c>
      <c r="B498" s="5" t="str">
        <f t="shared" si="11"/>
        <v>Luck♂布丁</v>
      </c>
      <c r="F498" s="8">
        <v>99</v>
      </c>
      <c r="G498" s="5">
        <f t="shared" si="12"/>
        <v>6</v>
      </c>
      <c r="H498" s="5">
        <f t="shared" si="14"/>
        <v>4</v>
      </c>
      <c r="I498" s="5" t="str">
        <f t="shared" si="13"/>
        <v>Luck♂布丁</v>
      </c>
    </row>
    <row r="499" spans="1:9">
      <c r="A499" s="5" t="s">
        <v>524</v>
      </c>
      <c r="B499" s="5" t="str">
        <f t="shared" si="11"/>
        <v>Luck♂影子</v>
      </c>
      <c r="F499" s="8">
        <v>100</v>
      </c>
      <c r="G499" s="5">
        <f t="shared" si="12"/>
        <v>6</v>
      </c>
      <c r="H499" s="5">
        <f t="shared" si="14"/>
        <v>5</v>
      </c>
      <c r="I499" s="5" t="str">
        <f t="shared" si="13"/>
        <v>Luck♂影子</v>
      </c>
    </row>
    <row r="500" spans="1:9">
      <c r="A500" s="5" t="s">
        <v>525</v>
      </c>
      <c r="B500" s="5" t="str">
        <f t="shared" si="11"/>
        <v>Luck♂笨蛋</v>
      </c>
      <c r="F500" s="8">
        <v>101</v>
      </c>
      <c r="G500" s="5">
        <f t="shared" si="12"/>
        <v>6</v>
      </c>
      <c r="H500" s="5">
        <f t="shared" si="14"/>
        <v>6</v>
      </c>
      <c r="I500" s="5" t="str">
        <f t="shared" si="13"/>
        <v>Luck♂笨蛋</v>
      </c>
    </row>
    <row r="501" spans="1:9">
      <c r="A501" s="5" t="s">
        <v>526</v>
      </c>
      <c r="B501" s="5" t="str">
        <f t="shared" si="11"/>
        <v>Luck♂老王</v>
      </c>
      <c r="F501" s="8">
        <v>102</v>
      </c>
      <c r="G501" s="5">
        <f t="shared" si="12"/>
        <v>6</v>
      </c>
      <c r="H501" s="5">
        <f t="shared" si="14"/>
        <v>7</v>
      </c>
      <c r="I501" s="5" t="str">
        <f t="shared" si="13"/>
        <v>Luck♂老王</v>
      </c>
    </row>
    <row r="502" spans="1:9">
      <c r="A502" s="5" t="s">
        <v>527</v>
      </c>
      <c r="B502" s="5" t="str">
        <f t="shared" si="11"/>
        <v>Luck♂虫虫</v>
      </c>
      <c r="F502" s="8">
        <v>103</v>
      </c>
      <c r="G502" s="5">
        <f t="shared" si="12"/>
        <v>6</v>
      </c>
      <c r="H502" s="5">
        <f t="shared" si="14"/>
        <v>8</v>
      </c>
      <c r="I502" s="5" t="str">
        <f t="shared" si="13"/>
        <v>Luck♂虫虫</v>
      </c>
    </row>
    <row r="503" spans="1:9">
      <c r="A503" s="5" t="s">
        <v>528</v>
      </c>
      <c r="B503" s="5" t="str">
        <f t="shared" si="11"/>
        <v>Luck♂女神</v>
      </c>
      <c r="F503" s="8">
        <v>104</v>
      </c>
      <c r="G503" s="5">
        <f t="shared" si="12"/>
        <v>6</v>
      </c>
      <c r="H503" s="5">
        <f t="shared" si="14"/>
        <v>9</v>
      </c>
      <c r="I503" s="5" t="str">
        <f t="shared" si="13"/>
        <v>Luck♂女神</v>
      </c>
    </row>
    <row r="504" spans="1:9">
      <c r="A504" s="5" t="s">
        <v>529</v>
      </c>
      <c r="B504" s="5" t="str">
        <f t="shared" si="11"/>
        <v>Luck♂屌丝</v>
      </c>
      <c r="F504" s="8">
        <v>105</v>
      </c>
      <c r="G504" s="5">
        <f t="shared" si="12"/>
        <v>6</v>
      </c>
      <c r="H504" s="5">
        <f t="shared" si="14"/>
        <v>10</v>
      </c>
      <c r="I504" s="5" t="str">
        <f t="shared" si="13"/>
        <v>Luck♂屌丝</v>
      </c>
    </row>
    <row r="505" spans="1:9">
      <c r="A505" s="5" t="s">
        <v>530</v>
      </c>
      <c r="B505" s="5" t="str">
        <f t="shared" si="11"/>
        <v>Luck♂金</v>
      </c>
      <c r="F505" s="8">
        <v>106</v>
      </c>
      <c r="G505" s="5">
        <f t="shared" si="12"/>
        <v>6</v>
      </c>
      <c r="H505" s="5">
        <f t="shared" si="14"/>
        <v>11</v>
      </c>
      <c r="I505" s="5" t="str">
        <f t="shared" si="13"/>
        <v>Luck♂金</v>
      </c>
    </row>
    <row r="506" spans="1:9">
      <c r="A506" s="5" t="s">
        <v>531</v>
      </c>
      <c r="B506" s="5" t="str">
        <f t="shared" si="11"/>
        <v>Luck♂特工</v>
      </c>
      <c r="F506" s="8">
        <v>107</v>
      </c>
      <c r="G506" s="5">
        <f t="shared" si="12"/>
        <v>6</v>
      </c>
      <c r="H506" s="5">
        <f t="shared" si="14"/>
        <v>12</v>
      </c>
      <c r="I506" s="5" t="str">
        <f t="shared" si="13"/>
        <v>Luck♂特工</v>
      </c>
    </row>
    <row r="507" spans="1:9">
      <c r="A507" s="5" t="s">
        <v>532</v>
      </c>
      <c r="B507" s="5" t="str">
        <f t="shared" si="11"/>
        <v>Luck♂消防</v>
      </c>
      <c r="F507" s="8">
        <v>108</v>
      </c>
      <c r="G507" s="5">
        <f t="shared" si="12"/>
        <v>6</v>
      </c>
      <c r="H507" s="5">
        <f t="shared" si="14"/>
        <v>13</v>
      </c>
      <c r="I507" s="5" t="str">
        <f t="shared" si="13"/>
        <v>Luck♂消防员</v>
      </c>
    </row>
    <row r="508" spans="1:9">
      <c r="A508" s="5" t="s">
        <v>533</v>
      </c>
      <c r="B508" s="5" t="str">
        <f t="shared" si="11"/>
        <v>Luck♂冯</v>
      </c>
      <c r="F508" s="8">
        <v>109</v>
      </c>
      <c r="G508" s="5">
        <f t="shared" si="12"/>
        <v>6</v>
      </c>
      <c r="H508" s="5">
        <f t="shared" si="14"/>
        <v>14</v>
      </c>
      <c r="I508" s="5" t="str">
        <f t="shared" si="13"/>
        <v>Luck♂冯</v>
      </c>
    </row>
    <row r="509" spans="1:9">
      <c r="A509" s="5" t="s">
        <v>534</v>
      </c>
      <c r="B509" s="5" t="str">
        <f t="shared" si="11"/>
        <v>Luck♂骑士</v>
      </c>
      <c r="F509" s="8">
        <v>110</v>
      </c>
      <c r="G509" s="5">
        <f t="shared" si="12"/>
        <v>6</v>
      </c>
      <c r="H509" s="5">
        <f t="shared" si="14"/>
        <v>15</v>
      </c>
      <c r="I509" s="5" t="str">
        <f t="shared" si="13"/>
        <v>Luck♂骑士</v>
      </c>
    </row>
    <row r="510" spans="1:9">
      <c r="A510" s="5" t="s">
        <v>535</v>
      </c>
      <c r="B510" s="5" t="str">
        <f t="shared" si="11"/>
        <v>Luck♂龙骑</v>
      </c>
      <c r="F510" s="8">
        <v>111</v>
      </c>
      <c r="G510" s="5">
        <f t="shared" si="12"/>
        <v>6</v>
      </c>
      <c r="H510" s="5">
        <f t="shared" si="14"/>
        <v>16</v>
      </c>
      <c r="I510" s="5" t="str">
        <f t="shared" si="13"/>
        <v>Luck♂龙骑士</v>
      </c>
    </row>
    <row r="511" spans="1:9">
      <c r="A511" s="5" t="s">
        <v>536</v>
      </c>
      <c r="B511" s="5" t="str">
        <f t="shared" si="11"/>
        <v>Luck♂魔导</v>
      </c>
      <c r="F511" s="8">
        <v>112</v>
      </c>
      <c r="G511" s="5">
        <f t="shared" si="12"/>
        <v>6</v>
      </c>
      <c r="H511" s="5">
        <f t="shared" si="14"/>
        <v>17</v>
      </c>
      <c r="I511" s="5" t="str">
        <f t="shared" si="13"/>
        <v>Luck♂魔导师</v>
      </c>
    </row>
    <row r="512" spans="1:9">
      <c r="A512" s="5" t="s">
        <v>537</v>
      </c>
      <c r="B512" s="5" t="str">
        <f t="shared" si="11"/>
        <v>Luck♂星语</v>
      </c>
      <c r="F512" s="8">
        <v>113</v>
      </c>
      <c r="G512" s="5">
        <f t="shared" si="12"/>
        <v>6</v>
      </c>
      <c r="H512" s="5">
        <f t="shared" si="14"/>
        <v>18</v>
      </c>
      <c r="I512" s="5" t="str">
        <f t="shared" si="13"/>
        <v>Luck♂星语者</v>
      </c>
    </row>
    <row r="513" spans="1:9">
      <c r="A513" s="5" t="s">
        <v>538</v>
      </c>
      <c r="B513" s="5" t="str">
        <f t="shared" si="11"/>
        <v>Luck♂灵能</v>
      </c>
      <c r="F513" s="8">
        <v>114</v>
      </c>
      <c r="G513" s="5">
        <f t="shared" si="12"/>
        <v>6</v>
      </c>
      <c r="H513" s="5">
        <f t="shared" si="14"/>
        <v>19</v>
      </c>
      <c r="I513" s="5" t="str">
        <f t="shared" si="13"/>
        <v>Luck♂灵能者</v>
      </c>
    </row>
    <row r="514" spans="1:9">
      <c r="A514" s="5" t="s">
        <v>539</v>
      </c>
      <c r="B514" s="5" t="str">
        <f t="shared" ref="B514:B550" si="15">LEFT(A514,7)</f>
        <v>圣战№狂人</v>
      </c>
      <c r="F514" s="8">
        <v>115</v>
      </c>
      <c r="G514" s="5">
        <f t="shared" si="12"/>
        <v>7</v>
      </c>
      <c r="H514" s="5">
        <f t="shared" si="14"/>
        <v>1</v>
      </c>
      <c r="I514" s="5" t="str">
        <f t="shared" si="13"/>
        <v>圣战№狂人</v>
      </c>
    </row>
    <row r="515" spans="1:9">
      <c r="A515" s="5" t="s">
        <v>540</v>
      </c>
      <c r="B515" s="5" t="str">
        <f t="shared" si="15"/>
        <v>圣战№魍魉</v>
      </c>
      <c r="F515" s="8">
        <v>116</v>
      </c>
      <c r="G515" s="5">
        <f t="shared" si="12"/>
        <v>7</v>
      </c>
      <c r="H515" s="5">
        <f t="shared" si="14"/>
        <v>2</v>
      </c>
      <c r="I515" s="5" t="str">
        <f t="shared" si="13"/>
        <v>圣战№魍魉</v>
      </c>
    </row>
    <row r="516" spans="1:9">
      <c r="A516" s="5" t="s">
        <v>541</v>
      </c>
      <c r="B516" s="5" t="str">
        <f t="shared" si="15"/>
        <v>圣战№乖乖</v>
      </c>
      <c r="F516" s="8">
        <v>117</v>
      </c>
      <c r="G516" s="5">
        <f t="shared" si="12"/>
        <v>7</v>
      </c>
      <c r="H516" s="5">
        <f t="shared" si="14"/>
        <v>3</v>
      </c>
      <c r="I516" s="5" t="str">
        <f t="shared" si="13"/>
        <v>圣战№乖乖</v>
      </c>
    </row>
    <row r="517" spans="1:9">
      <c r="A517" s="5" t="s">
        <v>542</v>
      </c>
      <c r="B517" s="5" t="str">
        <f t="shared" si="15"/>
        <v>圣战№布丁</v>
      </c>
      <c r="F517" s="8">
        <v>118</v>
      </c>
      <c r="G517" s="5">
        <f t="shared" si="12"/>
        <v>7</v>
      </c>
      <c r="H517" s="5">
        <f t="shared" si="14"/>
        <v>4</v>
      </c>
      <c r="I517" s="5" t="str">
        <f t="shared" si="13"/>
        <v>圣战№布丁</v>
      </c>
    </row>
    <row r="518" spans="1:9">
      <c r="A518" s="5" t="s">
        <v>543</v>
      </c>
      <c r="B518" s="5" t="str">
        <f t="shared" si="15"/>
        <v>圣战№影子</v>
      </c>
      <c r="F518" s="8">
        <v>119</v>
      </c>
      <c r="G518" s="5">
        <f t="shared" si="12"/>
        <v>7</v>
      </c>
      <c r="H518" s="5">
        <f t="shared" si="14"/>
        <v>5</v>
      </c>
      <c r="I518" s="5" t="str">
        <f t="shared" si="13"/>
        <v>圣战№影子</v>
      </c>
    </row>
    <row r="519" spans="1:9">
      <c r="A519" s="5" t="s">
        <v>544</v>
      </c>
      <c r="B519" s="5" t="str">
        <f t="shared" si="15"/>
        <v>圣战№笨蛋</v>
      </c>
      <c r="F519" s="8">
        <v>120</v>
      </c>
      <c r="G519" s="5">
        <f t="shared" si="12"/>
        <v>7</v>
      </c>
      <c r="H519" s="5">
        <f t="shared" si="14"/>
        <v>6</v>
      </c>
      <c r="I519" s="5" t="str">
        <f t="shared" si="13"/>
        <v>圣战№笨蛋</v>
      </c>
    </row>
    <row r="520" spans="1:9">
      <c r="A520" s="5" t="s">
        <v>545</v>
      </c>
      <c r="B520" s="5" t="str">
        <f t="shared" si="15"/>
        <v>圣战№老王</v>
      </c>
      <c r="F520" s="8">
        <v>121</v>
      </c>
      <c r="G520" s="5">
        <f t="shared" si="12"/>
        <v>7</v>
      </c>
      <c r="H520" s="5">
        <f t="shared" si="14"/>
        <v>7</v>
      </c>
      <c r="I520" s="5" t="str">
        <f t="shared" si="13"/>
        <v>圣战№老王</v>
      </c>
    </row>
    <row r="521" spans="1:9">
      <c r="A521" s="5" t="s">
        <v>546</v>
      </c>
      <c r="B521" s="5" t="str">
        <f t="shared" si="15"/>
        <v>圣战№虫虫</v>
      </c>
      <c r="F521" s="8">
        <v>122</v>
      </c>
      <c r="G521" s="5">
        <f t="shared" si="12"/>
        <v>7</v>
      </c>
      <c r="H521" s="5">
        <f t="shared" si="14"/>
        <v>8</v>
      </c>
      <c r="I521" s="5" t="str">
        <f t="shared" si="13"/>
        <v>圣战№虫虫</v>
      </c>
    </row>
    <row r="522" spans="1:9">
      <c r="A522" s="5" t="s">
        <v>547</v>
      </c>
      <c r="B522" s="5" t="str">
        <f t="shared" si="15"/>
        <v>圣战№女神</v>
      </c>
      <c r="F522" s="8">
        <v>123</v>
      </c>
      <c r="G522" s="5">
        <f t="shared" si="12"/>
        <v>7</v>
      </c>
      <c r="H522" s="5">
        <f t="shared" si="14"/>
        <v>9</v>
      </c>
      <c r="I522" s="5" t="str">
        <f t="shared" si="13"/>
        <v>圣战№女神</v>
      </c>
    </row>
    <row r="523" spans="1:9">
      <c r="A523" s="5" t="s">
        <v>548</v>
      </c>
      <c r="B523" s="5" t="str">
        <f t="shared" si="15"/>
        <v>圣战№屌丝</v>
      </c>
      <c r="F523" s="8">
        <v>124</v>
      </c>
      <c r="G523" s="5">
        <f t="shared" si="12"/>
        <v>7</v>
      </c>
      <c r="H523" s="5">
        <f t="shared" si="14"/>
        <v>10</v>
      </c>
      <c r="I523" s="5" t="str">
        <f t="shared" si="13"/>
        <v>圣战№屌丝</v>
      </c>
    </row>
    <row r="524" spans="1:9">
      <c r="A524" s="5" t="s">
        <v>549</v>
      </c>
      <c r="B524" s="5" t="str">
        <f t="shared" si="15"/>
        <v>圣战№金</v>
      </c>
      <c r="F524" s="8">
        <v>125</v>
      </c>
      <c r="G524" s="5">
        <f t="shared" si="12"/>
        <v>7</v>
      </c>
      <c r="H524" s="5">
        <f t="shared" si="14"/>
        <v>11</v>
      </c>
      <c r="I524" s="5" t="str">
        <f t="shared" si="13"/>
        <v>圣战№金</v>
      </c>
    </row>
    <row r="525" spans="1:9">
      <c r="A525" s="5" t="s">
        <v>550</v>
      </c>
      <c r="B525" s="5" t="str">
        <f t="shared" si="15"/>
        <v>圣战№特工</v>
      </c>
      <c r="F525" s="8">
        <v>126</v>
      </c>
      <c r="G525" s="5">
        <f t="shared" si="12"/>
        <v>7</v>
      </c>
      <c r="H525" s="5">
        <f t="shared" si="14"/>
        <v>12</v>
      </c>
      <c r="I525" s="5" t="str">
        <f t="shared" si="13"/>
        <v>圣战№特工</v>
      </c>
    </row>
    <row r="526" spans="1:9">
      <c r="A526" s="5" t="s">
        <v>551</v>
      </c>
      <c r="B526" s="5" t="str">
        <f t="shared" si="15"/>
        <v>圣战№消防员</v>
      </c>
      <c r="F526" s="8">
        <v>127</v>
      </c>
      <c r="G526" s="5">
        <f t="shared" si="12"/>
        <v>7</v>
      </c>
      <c r="H526" s="5">
        <f t="shared" si="14"/>
        <v>13</v>
      </c>
      <c r="I526" s="5" t="str">
        <f t="shared" si="13"/>
        <v>圣战№消防员</v>
      </c>
    </row>
    <row r="527" spans="1:9">
      <c r="A527" s="5" t="s">
        <v>552</v>
      </c>
      <c r="B527" s="5" t="str">
        <f t="shared" si="15"/>
        <v>圣战№冯</v>
      </c>
      <c r="F527" s="8">
        <v>128</v>
      </c>
      <c r="G527" s="5">
        <f t="shared" si="12"/>
        <v>7</v>
      </c>
      <c r="H527" s="5">
        <f t="shared" si="14"/>
        <v>14</v>
      </c>
      <c r="I527" s="5" t="str">
        <f t="shared" si="13"/>
        <v>圣战№冯</v>
      </c>
    </row>
    <row r="528" spans="1:9">
      <c r="A528" s="5" t="s">
        <v>553</v>
      </c>
      <c r="B528" s="5" t="str">
        <f t="shared" si="15"/>
        <v>圣战№骑士</v>
      </c>
      <c r="F528" s="8">
        <v>129</v>
      </c>
      <c r="G528" s="5">
        <f t="shared" si="12"/>
        <v>7</v>
      </c>
      <c r="H528" s="5">
        <f t="shared" si="14"/>
        <v>15</v>
      </c>
      <c r="I528" s="5" t="str">
        <f t="shared" si="13"/>
        <v>圣战№骑士</v>
      </c>
    </row>
    <row r="529" spans="1:9">
      <c r="A529" s="5" t="s">
        <v>554</v>
      </c>
      <c r="B529" s="5" t="str">
        <f t="shared" si="15"/>
        <v>圣战№龙骑士</v>
      </c>
      <c r="F529" s="8">
        <v>130</v>
      </c>
      <c r="G529" s="5">
        <f t="shared" ref="G529:G550" si="16">QUOTIENT(F529-1,19)+1</f>
        <v>7</v>
      </c>
      <c r="H529" s="5">
        <f t="shared" si="14"/>
        <v>16</v>
      </c>
      <c r="I529" s="5" t="str">
        <f t="shared" ref="I529:I550" si="17">INDEX($D$400:$D$407,G529,,1)&amp;INDEX($E$400:$E$418,H529,,1)</f>
        <v>圣战№龙骑士</v>
      </c>
    </row>
    <row r="530" spans="1:9">
      <c r="A530" s="5" t="s">
        <v>555</v>
      </c>
      <c r="B530" s="5" t="str">
        <f t="shared" si="15"/>
        <v>圣战№魔导师</v>
      </c>
      <c r="F530" s="8">
        <v>131</v>
      </c>
      <c r="G530" s="5">
        <f t="shared" si="16"/>
        <v>7</v>
      </c>
      <c r="H530" s="5">
        <f t="shared" si="14"/>
        <v>17</v>
      </c>
      <c r="I530" s="5" t="str">
        <f t="shared" si="17"/>
        <v>圣战№魔导师</v>
      </c>
    </row>
    <row r="531" spans="1:9">
      <c r="A531" s="5" t="s">
        <v>556</v>
      </c>
      <c r="B531" s="5" t="str">
        <f t="shared" si="15"/>
        <v>圣战№星语者</v>
      </c>
      <c r="F531" s="8">
        <v>132</v>
      </c>
      <c r="G531" s="5">
        <f t="shared" si="16"/>
        <v>7</v>
      </c>
      <c r="H531" s="5">
        <f t="shared" si="14"/>
        <v>18</v>
      </c>
      <c r="I531" s="5" t="str">
        <f t="shared" si="17"/>
        <v>圣战№星语者</v>
      </c>
    </row>
    <row r="532" spans="1:9">
      <c r="A532" s="5" t="s">
        <v>557</v>
      </c>
      <c r="B532" s="5" t="str">
        <f t="shared" si="15"/>
        <v>圣战№灵能者</v>
      </c>
      <c r="F532" s="8">
        <v>133</v>
      </c>
      <c r="G532" s="5">
        <f t="shared" si="16"/>
        <v>7</v>
      </c>
      <c r="H532" s="5">
        <f t="shared" si="14"/>
        <v>19</v>
      </c>
      <c r="I532" s="5" t="str">
        <f t="shared" si="17"/>
        <v>圣战№灵能者</v>
      </c>
    </row>
    <row r="533" spans="1:9">
      <c r="A533" s="5" t="s">
        <v>558</v>
      </c>
      <c r="B533" s="5" t="str">
        <f t="shared" si="15"/>
        <v>血族×狂人</v>
      </c>
      <c r="F533" s="8">
        <v>134</v>
      </c>
      <c r="G533" s="5">
        <f t="shared" si="16"/>
        <v>8</v>
      </c>
      <c r="H533" s="5">
        <f t="shared" si="14"/>
        <v>1</v>
      </c>
      <c r="I533" s="5" t="str">
        <f t="shared" si="17"/>
        <v>血族×狂人</v>
      </c>
    </row>
    <row r="534" spans="1:9">
      <c r="A534" s="5" t="s">
        <v>559</v>
      </c>
      <c r="B534" s="5" t="str">
        <f t="shared" si="15"/>
        <v>血族×魍魉</v>
      </c>
      <c r="F534" s="8">
        <v>135</v>
      </c>
      <c r="G534" s="5">
        <f t="shared" si="16"/>
        <v>8</v>
      </c>
      <c r="H534" s="5">
        <f t="shared" si="14"/>
        <v>2</v>
      </c>
      <c r="I534" s="5" t="str">
        <f t="shared" si="17"/>
        <v>血族×魍魉</v>
      </c>
    </row>
    <row r="535" spans="1:9">
      <c r="A535" s="5" t="s">
        <v>560</v>
      </c>
      <c r="B535" s="5" t="str">
        <f t="shared" si="15"/>
        <v>血族×乖乖</v>
      </c>
      <c r="F535" s="8">
        <v>136</v>
      </c>
      <c r="G535" s="5">
        <f t="shared" si="16"/>
        <v>8</v>
      </c>
      <c r="H535" s="5">
        <f t="shared" si="14"/>
        <v>3</v>
      </c>
      <c r="I535" s="5" t="str">
        <f t="shared" si="17"/>
        <v>血族×乖乖</v>
      </c>
    </row>
    <row r="536" spans="1:9">
      <c r="A536" s="5" t="s">
        <v>561</v>
      </c>
      <c r="B536" s="5" t="str">
        <f t="shared" si="15"/>
        <v>血族×布丁</v>
      </c>
      <c r="F536" s="8">
        <v>137</v>
      </c>
      <c r="G536" s="5">
        <f t="shared" si="16"/>
        <v>8</v>
      </c>
      <c r="H536" s="5">
        <f t="shared" si="14"/>
        <v>4</v>
      </c>
      <c r="I536" s="5" t="str">
        <f t="shared" si="17"/>
        <v>血族×布丁</v>
      </c>
    </row>
    <row r="537" spans="1:9">
      <c r="A537" s="5" t="s">
        <v>562</v>
      </c>
      <c r="B537" s="5" t="str">
        <f t="shared" si="15"/>
        <v>血族×影子</v>
      </c>
      <c r="F537" s="8">
        <v>138</v>
      </c>
      <c r="G537" s="5">
        <f t="shared" si="16"/>
        <v>8</v>
      </c>
      <c r="H537" s="5">
        <f t="shared" si="14"/>
        <v>5</v>
      </c>
      <c r="I537" s="5" t="str">
        <f t="shared" si="17"/>
        <v>血族×影子</v>
      </c>
    </row>
    <row r="538" spans="1:9">
      <c r="A538" s="5" t="s">
        <v>563</v>
      </c>
      <c r="B538" s="5" t="str">
        <f t="shared" si="15"/>
        <v>血族×笨蛋</v>
      </c>
      <c r="F538" s="8">
        <v>139</v>
      </c>
      <c r="G538" s="5">
        <f t="shared" si="16"/>
        <v>8</v>
      </c>
      <c r="H538" s="5">
        <f t="shared" si="14"/>
        <v>6</v>
      </c>
      <c r="I538" s="5" t="str">
        <f t="shared" si="17"/>
        <v>血族×笨蛋</v>
      </c>
    </row>
    <row r="539" spans="1:9">
      <c r="A539" s="5" t="s">
        <v>564</v>
      </c>
      <c r="B539" s="5" t="str">
        <f t="shared" si="15"/>
        <v>血族×老王</v>
      </c>
      <c r="F539" s="8">
        <v>140</v>
      </c>
      <c r="G539" s="5">
        <f t="shared" si="16"/>
        <v>8</v>
      </c>
      <c r="H539" s="5">
        <f t="shared" si="14"/>
        <v>7</v>
      </c>
      <c r="I539" s="5" t="str">
        <f t="shared" si="17"/>
        <v>血族×老王</v>
      </c>
    </row>
    <row r="540" spans="1:9">
      <c r="A540" s="5" t="s">
        <v>565</v>
      </c>
      <c r="B540" s="5" t="str">
        <f t="shared" si="15"/>
        <v>血族×虫虫</v>
      </c>
      <c r="F540" s="8">
        <v>141</v>
      </c>
      <c r="G540" s="5">
        <f t="shared" si="16"/>
        <v>8</v>
      </c>
      <c r="H540" s="5">
        <f t="shared" si="14"/>
        <v>8</v>
      </c>
      <c r="I540" s="5" t="str">
        <f t="shared" si="17"/>
        <v>血族×虫虫</v>
      </c>
    </row>
    <row r="541" spans="1:9">
      <c r="A541" s="5" t="s">
        <v>566</v>
      </c>
      <c r="B541" s="5" t="str">
        <f t="shared" si="15"/>
        <v>血族×女神</v>
      </c>
      <c r="F541" s="8">
        <v>142</v>
      </c>
      <c r="G541" s="5">
        <f t="shared" si="16"/>
        <v>8</v>
      </c>
      <c r="H541" s="5">
        <f t="shared" si="14"/>
        <v>9</v>
      </c>
      <c r="I541" s="5" t="str">
        <f t="shared" si="17"/>
        <v>血族×女神</v>
      </c>
    </row>
    <row r="542" spans="1:9">
      <c r="A542" s="5" t="s">
        <v>567</v>
      </c>
      <c r="B542" s="5" t="str">
        <f t="shared" si="15"/>
        <v>血族×屌丝</v>
      </c>
      <c r="F542" s="8">
        <v>143</v>
      </c>
      <c r="G542" s="5">
        <f t="shared" si="16"/>
        <v>8</v>
      </c>
      <c r="H542" s="5">
        <f t="shared" si="14"/>
        <v>10</v>
      </c>
      <c r="I542" s="5" t="str">
        <f t="shared" si="17"/>
        <v>血族×屌丝</v>
      </c>
    </row>
    <row r="543" spans="1:9">
      <c r="A543" s="5" t="s">
        <v>568</v>
      </c>
      <c r="B543" s="5" t="str">
        <f t="shared" si="15"/>
        <v>血族×金</v>
      </c>
      <c r="F543" s="8">
        <v>144</v>
      </c>
      <c r="G543" s="5">
        <f t="shared" si="16"/>
        <v>8</v>
      </c>
      <c r="H543" s="5">
        <f t="shared" si="14"/>
        <v>11</v>
      </c>
      <c r="I543" s="5" t="str">
        <f t="shared" si="17"/>
        <v>血族×金</v>
      </c>
    </row>
    <row r="544" spans="1:9">
      <c r="A544" s="5" t="s">
        <v>569</v>
      </c>
      <c r="B544" s="5" t="str">
        <f t="shared" si="15"/>
        <v>血族×特工</v>
      </c>
      <c r="F544" s="8">
        <v>145</v>
      </c>
      <c r="G544" s="5">
        <f t="shared" si="16"/>
        <v>8</v>
      </c>
      <c r="H544" s="5">
        <f t="shared" si="14"/>
        <v>12</v>
      </c>
      <c r="I544" s="5" t="str">
        <f t="shared" si="17"/>
        <v>血族×特工</v>
      </c>
    </row>
    <row r="545" spans="1:9">
      <c r="A545" s="5" t="s">
        <v>570</v>
      </c>
      <c r="B545" s="5" t="str">
        <f t="shared" si="15"/>
        <v>血族×消防员</v>
      </c>
      <c r="F545" s="8">
        <v>146</v>
      </c>
      <c r="G545" s="5">
        <f t="shared" si="16"/>
        <v>8</v>
      </c>
      <c r="H545" s="5">
        <f t="shared" si="14"/>
        <v>13</v>
      </c>
      <c r="I545" s="5" t="str">
        <f t="shared" si="17"/>
        <v>血族×消防员</v>
      </c>
    </row>
    <row r="546" spans="1:9">
      <c r="A546" s="5" t="s">
        <v>571</v>
      </c>
      <c r="B546" s="5" t="str">
        <f t="shared" si="15"/>
        <v>血族×冯</v>
      </c>
      <c r="F546" s="8">
        <v>147</v>
      </c>
      <c r="G546" s="5">
        <f t="shared" si="16"/>
        <v>8</v>
      </c>
      <c r="H546" s="5">
        <f t="shared" si="14"/>
        <v>14</v>
      </c>
      <c r="I546" s="5" t="str">
        <f t="shared" si="17"/>
        <v>血族×冯</v>
      </c>
    </row>
    <row r="547" spans="1:9">
      <c r="A547" s="5" t="s">
        <v>572</v>
      </c>
      <c r="B547" s="5" t="str">
        <f t="shared" si="15"/>
        <v>血族×骑士</v>
      </c>
      <c r="F547" s="8">
        <v>148</v>
      </c>
      <c r="G547" s="5">
        <f t="shared" si="16"/>
        <v>8</v>
      </c>
      <c r="H547" s="5">
        <f t="shared" si="14"/>
        <v>15</v>
      </c>
      <c r="I547" s="5" t="str">
        <f t="shared" si="17"/>
        <v>血族×骑士</v>
      </c>
    </row>
    <row r="548" spans="1:9">
      <c r="A548" s="5" t="s">
        <v>573</v>
      </c>
      <c r="B548" s="5" t="str">
        <f t="shared" si="15"/>
        <v>血族×龙骑士</v>
      </c>
      <c r="F548" s="8">
        <v>149</v>
      </c>
      <c r="G548" s="5">
        <f t="shared" si="16"/>
        <v>8</v>
      </c>
      <c r="H548" s="5">
        <f t="shared" si="14"/>
        <v>16</v>
      </c>
      <c r="I548" s="5" t="str">
        <f t="shared" si="17"/>
        <v>血族×龙骑士</v>
      </c>
    </row>
    <row r="549" spans="1:9">
      <c r="A549" s="5" t="s">
        <v>574</v>
      </c>
      <c r="B549" s="5" t="str">
        <f t="shared" si="15"/>
        <v>血族×魔导师</v>
      </c>
      <c r="F549" s="8">
        <v>150</v>
      </c>
      <c r="G549" s="5">
        <f t="shared" si="16"/>
        <v>8</v>
      </c>
      <c r="H549" s="5">
        <f t="shared" si="14"/>
        <v>17</v>
      </c>
      <c r="I549" s="5" t="str">
        <f t="shared" si="17"/>
        <v>血族×魔导师</v>
      </c>
    </row>
    <row r="550" spans="1:9">
      <c r="A550" s="5" t="s">
        <v>575</v>
      </c>
      <c r="B550" s="5" t="str">
        <f t="shared" si="15"/>
        <v>血族×星语者</v>
      </c>
      <c r="F550" s="8">
        <v>151</v>
      </c>
      <c r="G550" s="5">
        <f t="shared" si="16"/>
        <v>8</v>
      </c>
      <c r="H550" s="5">
        <f t="shared" si="14"/>
        <v>18</v>
      </c>
      <c r="I550" s="5" t="str">
        <f t="shared" si="17"/>
        <v>血族×星语者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25"/>
  <sheetViews>
    <sheetView tabSelected="1" workbookViewId="0">
      <selection activeCell="G26" sqref="G26"/>
    </sheetView>
  </sheetViews>
  <sheetFormatPr defaultRowHeight="13.5"/>
  <cols>
    <col min="1" max="1" width="100.125" customWidth="1"/>
    <col min="6" max="6" width="32.125" customWidth="1"/>
  </cols>
  <sheetData>
    <row r="1" spans="1:1">
      <c r="A1" t="s">
        <v>673</v>
      </c>
    </row>
    <row r="2" spans="1:1">
      <c r="A2" t="s">
        <v>673</v>
      </c>
    </row>
    <row r="3" spans="1:1">
      <c r="A3" t="s">
        <v>673</v>
      </c>
    </row>
    <row r="19" spans="6:7">
      <c r="F19" t="s">
        <v>674</v>
      </c>
    </row>
    <row r="22" spans="6:7">
      <c r="F22" t="s">
        <v>675</v>
      </c>
      <c r="G22" t="s">
        <v>679</v>
      </c>
    </row>
    <row r="23" spans="6:7">
      <c r="F23" t="s">
        <v>676</v>
      </c>
      <c r="G23" t="s">
        <v>680</v>
      </c>
    </row>
    <row r="24" spans="6:7">
      <c r="F24" t="s">
        <v>677</v>
      </c>
      <c r="G24" t="s">
        <v>681</v>
      </c>
    </row>
    <row r="25" spans="6:7">
      <c r="F25" t="s">
        <v>678</v>
      </c>
      <c r="G25" t="s">
        <v>682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server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Class</cp:lastModifiedBy>
  <dcterms:created xsi:type="dcterms:W3CDTF">2006-09-13T11:21:00Z</dcterms:created>
  <dcterms:modified xsi:type="dcterms:W3CDTF">2016-11-11T01:55:27Z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2052-10.1.0.5400</vt:lpwstr>
  </property>
</Properties>
</file>